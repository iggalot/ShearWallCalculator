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gramming\ShearWallCalculator\WindLoadCalculations\"/>
    </mc:Choice>
  </mc:AlternateContent>
  <xr:revisionPtr revIDLastSave="0" documentId="13_ncr:1_{CA2DD4F0-07D7-4BE5-B945-01A560988780}" xr6:coauthVersionLast="47" xr6:coauthVersionMax="47" xr10:uidLastSave="{00000000-0000-0000-0000-000000000000}"/>
  <bookViews>
    <workbookView xWindow="-27540" yWindow="285" windowWidth="26460" windowHeight="14130" activeTab="2" xr2:uid="{7D93B743-C6BA-493F-B145-C673A908EA6D}"/>
  </bookViews>
  <sheets>
    <sheet name="Exposure C" sheetId="1" r:id="rId1"/>
    <sheet name="40x60 FLAT ASCE7-16" sheetId="2" r:id="rId2"/>
    <sheet name="40x60 GABLE ASCE7-16" sheetId="4" r:id="rId3"/>
    <sheet name="Sheet3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4" l="1"/>
  <c r="C26" i="4"/>
  <c r="C30" i="4"/>
  <c r="B30" i="4"/>
  <c r="B7" i="4"/>
  <c r="H4" i="4" s="1"/>
  <c r="L6" i="4"/>
  <c r="J22" i="4" s="1"/>
  <c r="H6" i="4"/>
  <c r="F6" i="4" s="1"/>
  <c r="H5" i="4"/>
  <c r="L6" i="2"/>
  <c r="G20" i="2" s="1"/>
  <c r="C15" i="2"/>
  <c r="C12" i="2"/>
  <c r="C13" i="2" s="1"/>
  <c r="H6" i="2"/>
  <c r="F6" i="2" s="1"/>
  <c r="H4" i="2"/>
  <c r="H5" i="2"/>
  <c r="H16" i="4" l="1"/>
  <c r="J15" i="4"/>
  <c r="H17" i="4"/>
  <c r="J16" i="4"/>
  <c r="G16" i="4"/>
  <c r="L16" i="4" s="1"/>
  <c r="I15" i="4"/>
  <c r="H15" i="4"/>
  <c r="M15" i="4" s="1"/>
  <c r="G17" i="4"/>
  <c r="L17" i="4" s="1"/>
  <c r="J18" i="4"/>
  <c r="G15" i="4"/>
  <c r="L15" i="4" s="1"/>
  <c r="I18" i="4"/>
  <c r="J14" i="4"/>
  <c r="G18" i="4"/>
  <c r="L18" i="4" s="1"/>
  <c r="I14" i="4"/>
  <c r="H18" i="4"/>
  <c r="J17" i="4"/>
  <c r="H14" i="4"/>
  <c r="I16" i="4"/>
  <c r="I17" i="4"/>
  <c r="G14" i="4"/>
  <c r="F4" i="4"/>
  <c r="F8" i="4" s="1"/>
  <c r="C17" i="4" s="1"/>
  <c r="H27" i="4"/>
  <c r="I27" i="4"/>
  <c r="J27" i="4"/>
  <c r="G27" i="4"/>
  <c r="H23" i="4"/>
  <c r="G13" i="4"/>
  <c r="I23" i="4"/>
  <c r="H13" i="4"/>
  <c r="M13" i="4" s="1"/>
  <c r="J23" i="4"/>
  <c r="I13" i="4"/>
  <c r="G23" i="4"/>
  <c r="J13" i="4"/>
  <c r="G26" i="4"/>
  <c r="H26" i="4"/>
  <c r="G22" i="4"/>
  <c r="I26" i="4"/>
  <c r="H22" i="4"/>
  <c r="M22" i="4" s="1"/>
  <c r="J26" i="4"/>
  <c r="I22" i="4"/>
  <c r="H21" i="2"/>
  <c r="I21" i="2"/>
  <c r="J21" i="2"/>
  <c r="G15" i="2"/>
  <c r="H25" i="2"/>
  <c r="J15" i="2"/>
  <c r="I15" i="2"/>
  <c r="G21" i="2"/>
  <c r="L21" i="2" s="1"/>
  <c r="J13" i="2"/>
  <c r="G24" i="2"/>
  <c r="L24" i="2" s="1"/>
  <c r="G14" i="2"/>
  <c r="J24" i="2"/>
  <c r="G25" i="2"/>
  <c r="H14" i="2"/>
  <c r="I25" i="2"/>
  <c r="H20" i="2"/>
  <c r="J20" i="2"/>
  <c r="I14" i="2"/>
  <c r="G12" i="2"/>
  <c r="I24" i="2"/>
  <c r="H13" i="2"/>
  <c r="J25" i="2"/>
  <c r="J12" i="2"/>
  <c r="I20" i="2"/>
  <c r="L20" i="2" s="1"/>
  <c r="J14" i="2"/>
  <c r="I13" i="2"/>
  <c r="H24" i="2"/>
  <c r="G13" i="2"/>
  <c r="H12" i="2"/>
  <c r="H15" i="2"/>
  <c r="M15" i="2" s="1"/>
  <c r="I12" i="2"/>
  <c r="C14" i="2"/>
  <c r="C16" i="2" s="1"/>
  <c r="D16" i="2" s="1"/>
  <c r="F4" i="2"/>
  <c r="F8" i="2" s="1"/>
  <c r="M18" i="4" l="1"/>
  <c r="L13" i="4"/>
  <c r="L14" i="4"/>
  <c r="M23" i="4"/>
  <c r="M17" i="4"/>
  <c r="M14" i="4"/>
  <c r="M16" i="4"/>
  <c r="C16" i="4"/>
  <c r="C15" i="4"/>
  <c r="C14" i="4"/>
  <c r="C13" i="4"/>
  <c r="M27" i="4"/>
  <c r="L13" i="2"/>
  <c r="M12" i="2"/>
  <c r="M20" i="2"/>
  <c r="L27" i="4"/>
  <c r="M26" i="4"/>
  <c r="L26" i="4"/>
  <c r="L23" i="4"/>
  <c r="L22" i="4"/>
  <c r="C22" i="4"/>
  <c r="C23" i="4"/>
  <c r="M14" i="2"/>
  <c r="M21" i="2"/>
  <c r="L25" i="2"/>
  <c r="M24" i="2"/>
  <c r="L14" i="2"/>
  <c r="L15" i="2"/>
  <c r="M13" i="2"/>
  <c r="M25" i="2"/>
  <c r="L12" i="2"/>
  <c r="C20" i="2"/>
  <c r="C21" i="2"/>
  <c r="C24" i="2"/>
  <c r="C25" i="2"/>
  <c r="C18" i="4" l="1"/>
  <c r="C19" i="4" s="1"/>
  <c r="D19" i="4" s="1"/>
</calcChain>
</file>

<file path=xl/sharedStrings.xml><?xml version="1.0" encoding="utf-8"?>
<sst xmlns="http://schemas.openxmlformats.org/spreadsheetml/2006/main" count="250" uniqueCount="108">
  <si>
    <t>TDI Data Values</t>
  </si>
  <si>
    <t>ft</t>
  </si>
  <si>
    <t>Width, B</t>
  </si>
  <si>
    <t>Length, L</t>
  </si>
  <si>
    <t>RoofPitch</t>
  </si>
  <si>
    <t>Zone 1 +</t>
  </si>
  <si>
    <t>Zone 1 -</t>
  </si>
  <si>
    <t>Zone 2 +</t>
  </si>
  <si>
    <t>Zone 2 -</t>
  </si>
  <si>
    <t>ASCE7-16</t>
  </si>
  <si>
    <t>Zone 3+</t>
  </si>
  <si>
    <t>Zone 3-</t>
  </si>
  <si>
    <t>Zone 4+</t>
  </si>
  <si>
    <t xml:space="preserve">Zone 4 - </t>
  </si>
  <si>
    <t>Zone 5+</t>
  </si>
  <si>
    <t>Zone 5 -</t>
  </si>
  <si>
    <t>RoofStyle</t>
  </si>
  <si>
    <t>a (ft)</t>
  </si>
  <si>
    <t>CritDim</t>
  </si>
  <si>
    <t>FLAT</t>
  </si>
  <si>
    <t>Zone 1_prime+</t>
  </si>
  <si>
    <t>Zone 1_prime -</t>
  </si>
  <si>
    <t>GABLE</t>
  </si>
  <si>
    <t>HIP</t>
  </si>
  <si>
    <t>MAX NET PRESSURES (PSF) -- includes +/- qh * GCp_i</t>
  </si>
  <si>
    <t>qh</t>
  </si>
  <si>
    <t>V = 150 MPH</t>
  </si>
  <si>
    <t>Exposure C</t>
  </si>
  <si>
    <t>Zone 2n +</t>
  </si>
  <si>
    <t>Zone 2n -</t>
  </si>
  <si>
    <t>Zone 2r +</t>
  </si>
  <si>
    <t>Zone 2r -</t>
  </si>
  <si>
    <t>Flat Roof Zones</t>
  </si>
  <si>
    <t>Zone 2e +</t>
  </si>
  <si>
    <t>Zone 2e -</t>
  </si>
  <si>
    <t>Wall Zones</t>
  </si>
  <si>
    <t>Hip Roof Zones</t>
  </si>
  <si>
    <t>Gable Roof Zones</t>
  </si>
  <si>
    <t xml:space="preserve">Kzt = 1.0  I=1.0  </t>
  </si>
  <si>
    <t>Enclosed Buildings</t>
  </si>
  <si>
    <t>psf</t>
  </si>
  <si>
    <t>n/a</t>
  </si>
  <si>
    <t>deg</t>
  </si>
  <si>
    <t>WallHeight</t>
  </si>
  <si>
    <t>MeanRoofHt</t>
  </si>
  <si>
    <t>h (ft)</t>
  </si>
  <si>
    <t>Zone 3 +</t>
  </si>
  <si>
    <t>Zone 3 -</t>
  </si>
  <si>
    <t>L</t>
  </si>
  <si>
    <t>B</t>
  </si>
  <si>
    <t>H</t>
  </si>
  <si>
    <t xml:space="preserve">V </t>
  </si>
  <si>
    <t>mph</t>
  </si>
  <si>
    <t>Zone</t>
  </si>
  <si>
    <t>1_prime</t>
  </si>
  <si>
    <t>a =</t>
  </si>
  <si>
    <t>0.4H</t>
  </si>
  <si>
    <t>h</t>
  </si>
  <si>
    <t>0.1*min(L,B)</t>
  </si>
  <si>
    <t>"a" calcs</t>
  </si>
  <si>
    <t>a_min</t>
  </si>
  <si>
    <t>0.04*min(L,B)</t>
  </si>
  <si>
    <t>C&amp;C area calcs</t>
  </si>
  <si>
    <t>ENCLOSED</t>
  </si>
  <si>
    <t>aH</t>
  </si>
  <si>
    <t>Area</t>
  </si>
  <si>
    <t>(B-2a)H</t>
  </si>
  <si>
    <t>0.2*h^2</t>
  </si>
  <si>
    <t>(L-2.4*h)*(B-2.4*h)</t>
  </si>
  <si>
    <t>(L-1.2*h)*(B-1.2*h)-A1_prime</t>
  </si>
  <si>
    <t>B*L-A1_prime-A1-4*A3</t>
  </si>
  <si>
    <t>TOTAL</t>
  </si>
  <si>
    <t>ROOF</t>
  </si>
  <si>
    <t>(L-2a)H</t>
  </si>
  <si>
    <t>GCp+</t>
  </si>
  <si>
    <t>GCp-</t>
  </si>
  <si>
    <t>Kz</t>
  </si>
  <si>
    <t>h = 15'</t>
  </si>
  <si>
    <t>qh =</t>
  </si>
  <si>
    <t>Kd</t>
  </si>
  <si>
    <t>External</t>
  </si>
  <si>
    <t>Internal</t>
  </si>
  <si>
    <t>Internal -</t>
  </si>
  <si>
    <t>qh*Gcpi</t>
  </si>
  <si>
    <t>p+ = qh*GCp+</t>
  </si>
  <si>
    <t>p- = qh*GCp-</t>
  </si>
  <si>
    <t>Gcpi</t>
  </si>
  <si>
    <t>-qh*Gcpi</t>
  </si>
  <si>
    <t>Net Max +</t>
  </si>
  <si>
    <t>Net Max -</t>
  </si>
  <si>
    <t>15'</t>
  </si>
  <si>
    <t>30'</t>
  </si>
  <si>
    <t>FLAT VERIFICATION - ASCE 7-16</t>
  </si>
  <si>
    <t>GABLE VERIFICATION - ASCE7-16</t>
  </si>
  <si>
    <t>slope</t>
  </si>
  <si>
    <t>3e</t>
  </si>
  <si>
    <t>3r</t>
  </si>
  <si>
    <t>2n_B</t>
  </si>
  <si>
    <t>2e</t>
  </si>
  <si>
    <t>2r</t>
  </si>
  <si>
    <t>a*a</t>
  </si>
  <si>
    <t>(B/2-2a)*a</t>
  </si>
  <si>
    <t>(L-2a)*a</t>
  </si>
  <si>
    <t>(L * B/2) - 2*A3e-2*A3r-2*A2n-A2e-A2r</t>
  </si>
  <si>
    <t>20'</t>
  </si>
  <si>
    <t>(H+H+a*tan(slope))*a</t>
  </si>
  <si>
    <t>"L" Dimension Wall</t>
  </si>
  <si>
    <t>"B" Dimension Wall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</si>
</sst>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6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2" borderId="0" xfId="0" applyFill="1"/>
    <xf numFmtId="0" fontId="0" fillId="0" borderId="0" xfId="0" quotePrefix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5135-BEB2-4F94-BA52-74AFC5FDF7DD}">
  <dimension ref="A1:AO72"/>
  <sheetViews>
    <sheetView workbookViewId="0">
      <selection activeCell="H10" sqref="H10:Q12"/>
    </sheetView>
  </sheetViews>
  <sheetFormatPr defaultRowHeight="14.25"/>
  <cols>
    <col min="3" max="3" width="13" bestFit="1" customWidth="1"/>
    <col min="11" max="11" width="13.25" bestFit="1" customWidth="1"/>
  </cols>
  <sheetData>
    <row r="1" spans="1:41" s="2" customFormat="1" ht="20.25">
      <c r="A1" s="2" t="s">
        <v>0</v>
      </c>
    </row>
    <row r="2" spans="1:41" ht="15">
      <c r="A2" t="s">
        <v>26</v>
      </c>
      <c r="J2" s="1" t="s">
        <v>9</v>
      </c>
    </row>
    <row r="3" spans="1:41">
      <c r="A3" t="s">
        <v>27</v>
      </c>
    </row>
    <row r="4" spans="1:41">
      <c r="A4" t="s">
        <v>38</v>
      </c>
    </row>
    <row r="5" spans="1:41">
      <c r="A5" t="s">
        <v>39</v>
      </c>
    </row>
    <row r="7" spans="1:41" ht="15">
      <c r="M7" s="1" t="s">
        <v>24</v>
      </c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41">
      <c r="A8" t="s">
        <v>2</v>
      </c>
      <c r="B8" t="s">
        <v>3</v>
      </c>
      <c r="C8" t="s">
        <v>43</v>
      </c>
      <c r="D8" t="s">
        <v>4</v>
      </c>
      <c r="E8" t="s">
        <v>16</v>
      </c>
      <c r="G8" t="s">
        <v>44</v>
      </c>
      <c r="H8" t="s">
        <v>25</v>
      </c>
      <c r="I8" t="s">
        <v>18</v>
      </c>
      <c r="L8" t="s">
        <v>32</v>
      </c>
      <c r="W8" t="s">
        <v>36</v>
      </c>
      <c r="AG8" t="s">
        <v>37</v>
      </c>
      <c r="AM8" t="s">
        <v>35</v>
      </c>
    </row>
    <row r="9" spans="1:41">
      <c r="A9" t="s">
        <v>1</v>
      </c>
      <c r="B9" t="s">
        <v>1</v>
      </c>
      <c r="C9" t="s">
        <v>1</v>
      </c>
      <c r="D9" t="s">
        <v>42</v>
      </c>
      <c r="G9" t="s">
        <v>45</v>
      </c>
      <c r="H9" t="s">
        <v>40</v>
      </c>
      <c r="I9" t="s">
        <v>17</v>
      </c>
      <c r="J9" t="s">
        <v>20</v>
      </c>
      <c r="K9" t="s">
        <v>21</v>
      </c>
      <c r="L9" t="s">
        <v>5</v>
      </c>
      <c r="M9" t="s">
        <v>6</v>
      </c>
      <c r="N9" t="s">
        <v>7</v>
      </c>
      <c r="O9" t="s">
        <v>8</v>
      </c>
      <c r="P9" t="s">
        <v>10</v>
      </c>
      <c r="Q9" t="s">
        <v>11</v>
      </c>
      <c r="T9" t="s">
        <v>5</v>
      </c>
      <c r="U9" t="s">
        <v>6</v>
      </c>
      <c r="V9" t="s">
        <v>28</v>
      </c>
      <c r="W9" t="s">
        <v>29</v>
      </c>
      <c r="X9" t="s">
        <v>30</v>
      </c>
      <c r="Y9" t="s">
        <v>31</v>
      </c>
      <c r="Z9" t="s">
        <v>33</v>
      </c>
      <c r="AA9" t="s">
        <v>34</v>
      </c>
      <c r="AB9" t="s">
        <v>46</v>
      </c>
      <c r="AC9" t="s">
        <v>47</v>
      </c>
      <c r="AE9" t="s">
        <v>5</v>
      </c>
      <c r="AF9" t="s">
        <v>6</v>
      </c>
      <c r="AG9" t="s">
        <v>7</v>
      </c>
      <c r="AH9" t="s">
        <v>8</v>
      </c>
      <c r="AI9" t="s">
        <v>10</v>
      </c>
      <c r="AJ9" t="s">
        <v>11</v>
      </c>
      <c r="AL9" t="s">
        <v>12</v>
      </c>
      <c r="AM9" t="s">
        <v>13</v>
      </c>
      <c r="AN9" t="s">
        <v>14</v>
      </c>
      <c r="AO9" t="s">
        <v>15</v>
      </c>
    </row>
    <row r="10" spans="1:41">
      <c r="A10">
        <v>40</v>
      </c>
      <c r="B10">
        <v>60</v>
      </c>
      <c r="C10">
        <v>15</v>
      </c>
      <c r="D10">
        <v>0</v>
      </c>
      <c r="E10" t="s">
        <v>19</v>
      </c>
      <c r="G10">
        <v>15</v>
      </c>
      <c r="H10">
        <v>41.6</v>
      </c>
      <c r="J10">
        <v>16</v>
      </c>
      <c r="K10">
        <v>-44.9</v>
      </c>
      <c r="L10">
        <v>15.8</v>
      </c>
      <c r="M10">
        <v>-49</v>
      </c>
      <c r="N10">
        <v>15.8</v>
      </c>
      <c r="O10">
        <v>-65.7</v>
      </c>
      <c r="P10">
        <v>18.3</v>
      </c>
      <c r="Q10">
        <v>-135.1</v>
      </c>
    </row>
    <row r="11" spans="1:41">
      <c r="A11">
        <v>40</v>
      </c>
      <c r="B11">
        <v>60</v>
      </c>
      <c r="C11">
        <v>30</v>
      </c>
      <c r="D11">
        <v>0</v>
      </c>
      <c r="E11" t="s">
        <v>19</v>
      </c>
      <c r="G11">
        <v>30</v>
      </c>
      <c r="H11">
        <v>48.1</v>
      </c>
      <c r="J11" t="s">
        <v>41</v>
      </c>
      <c r="K11" t="s">
        <v>41</v>
      </c>
      <c r="L11">
        <v>18.5</v>
      </c>
      <c r="M11">
        <v>-84.5</v>
      </c>
      <c r="N11">
        <v>18.3</v>
      </c>
      <c r="O11">
        <v>-76</v>
      </c>
      <c r="P11">
        <v>18.3</v>
      </c>
      <c r="Q11">
        <v>-132.5</v>
      </c>
    </row>
    <row r="12" spans="1:41">
      <c r="A12">
        <v>40</v>
      </c>
      <c r="B12">
        <v>60</v>
      </c>
      <c r="C12">
        <v>45</v>
      </c>
      <c r="D12">
        <v>0</v>
      </c>
      <c r="E12" t="s">
        <v>19</v>
      </c>
      <c r="G12">
        <v>45</v>
      </c>
      <c r="H12">
        <v>52.4</v>
      </c>
      <c r="J12" t="s">
        <v>41</v>
      </c>
      <c r="K12" t="s">
        <v>41</v>
      </c>
      <c r="L12" t="s">
        <v>41</v>
      </c>
      <c r="M12" t="s">
        <v>41</v>
      </c>
      <c r="N12">
        <v>19.899999999999999</v>
      </c>
      <c r="O12">
        <v>-82.8</v>
      </c>
      <c r="P12">
        <v>19.899999999999999</v>
      </c>
      <c r="Q12">
        <v>-101</v>
      </c>
    </row>
    <row r="13" spans="1:41">
      <c r="A13">
        <v>40</v>
      </c>
      <c r="B13">
        <v>60</v>
      </c>
      <c r="C13">
        <v>15</v>
      </c>
      <c r="D13">
        <v>15</v>
      </c>
      <c r="E13" t="s">
        <v>22</v>
      </c>
    </row>
    <row r="14" spans="1:41">
      <c r="A14">
        <v>40</v>
      </c>
      <c r="B14">
        <v>60</v>
      </c>
      <c r="C14">
        <v>15</v>
      </c>
      <c r="D14">
        <v>30</v>
      </c>
      <c r="E14" t="s">
        <v>22</v>
      </c>
    </row>
    <row r="15" spans="1:41">
      <c r="A15">
        <v>40</v>
      </c>
      <c r="B15">
        <v>60</v>
      </c>
      <c r="C15">
        <v>15</v>
      </c>
      <c r="D15">
        <v>45</v>
      </c>
      <c r="E15" t="s">
        <v>22</v>
      </c>
    </row>
    <row r="16" spans="1:41">
      <c r="A16">
        <v>40</v>
      </c>
      <c r="B16">
        <v>60</v>
      </c>
      <c r="C16">
        <v>30</v>
      </c>
      <c r="D16">
        <v>15</v>
      </c>
      <c r="E16" t="s">
        <v>22</v>
      </c>
    </row>
    <row r="17" spans="1:29">
      <c r="A17">
        <v>40</v>
      </c>
      <c r="B17">
        <v>60</v>
      </c>
      <c r="C17">
        <v>30</v>
      </c>
      <c r="D17">
        <v>30</v>
      </c>
      <c r="E17" t="s">
        <v>22</v>
      </c>
    </row>
    <row r="18" spans="1:29">
      <c r="A18">
        <v>40</v>
      </c>
      <c r="B18">
        <v>60</v>
      </c>
      <c r="C18">
        <v>30</v>
      </c>
      <c r="D18">
        <v>45</v>
      </c>
      <c r="E18" t="s">
        <v>22</v>
      </c>
    </row>
    <row r="19" spans="1:29">
      <c r="A19">
        <v>40</v>
      </c>
      <c r="B19">
        <v>60</v>
      </c>
      <c r="C19">
        <v>45</v>
      </c>
      <c r="D19">
        <v>15</v>
      </c>
      <c r="E19" t="s">
        <v>22</v>
      </c>
    </row>
    <row r="20" spans="1:29">
      <c r="A20">
        <v>40</v>
      </c>
      <c r="B20">
        <v>60</v>
      </c>
      <c r="C20">
        <v>45</v>
      </c>
      <c r="D20">
        <v>30</v>
      </c>
      <c r="E20" t="s">
        <v>22</v>
      </c>
    </row>
    <row r="21" spans="1:29">
      <c r="A21">
        <v>40</v>
      </c>
      <c r="B21">
        <v>60</v>
      </c>
      <c r="C21">
        <v>45</v>
      </c>
      <c r="D21">
        <v>45</v>
      </c>
      <c r="E21" t="s">
        <v>22</v>
      </c>
    </row>
    <row r="22" spans="1:29">
      <c r="A22">
        <v>40</v>
      </c>
      <c r="B22">
        <v>60</v>
      </c>
      <c r="C22">
        <v>15</v>
      </c>
      <c r="D22">
        <v>15</v>
      </c>
      <c r="E22" t="s">
        <v>23</v>
      </c>
      <c r="G22">
        <v>23</v>
      </c>
      <c r="H22">
        <v>45.5</v>
      </c>
      <c r="I22">
        <v>4</v>
      </c>
      <c r="T22">
        <v>21.8</v>
      </c>
      <c r="U22">
        <v>-53.7</v>
      </c>
      <c r="X22">
        <v>21.8</v>
      </c>
      <c r="Y22">
        <v>-80.8</v>
      </c>
      <c r="Z22">
        <v>21.8</v>
      </c>
      <c r="AA22">
        <v>-75.900000000000006</v>
      </c>
      <c r="AB22">
        <v>38.799999999999997</v>
      </c>
      <c r="AC22">
        <v>-98.1</v>
      </c>
    </row>
    <row r="23" spans="1:29">
      <c r="A23">
        <v>40</v>
      </c>
      <c r="B23">
        <v>60</v>
      </c>
      <c r="C23">
        <v>15</v>
      </c>
      <c r="D23">
        <v>30</v>
      </c>
      <c r="E23" t="s">
        <v>23</v>
      </c>
      <c r="G23">
        <v>32.299999999999997</v>
      </c>
      <c r="H23">
        <v>48.9</v>
      </c>
      <c r="I23">
        <v>4</v>
      </c>
      <c r="T23">
        <v>23.4</v>
      </c>
      <c r="U23">
        <v>-50.4</v>
      </c>
      <c r="X23">
        <v>23.4</v>
      </c>
      <c r="Y23">
        <v>-57.6</v>
      </c>
      <c r="Z23">
        <v>23.4</v>
      </c>
      <c r="AA23">
        <v>-47.9</v>
      </c>
      <c r="AB23">
        <v>48.8</v>
      </c>
      <c r="AC23">
        <v>-153.6</v>
      </c>
    </row>
    <row r="24" spans="1:29">
      <c r="A24">
        <v>40</v>
      </c>
      <c r="B24">
        <v>60</v>
      </c>
      <c r="C24">
        <v>15</v>
      </c>
      <c r="D24">
        <v>45</v>
      </c>
      <c r="E24" t="s">
        <v>23</v>
      </c>
    </row>
    <row r="25" spans="1:29">
      <c r="A25">
        <v>40</v>
      </c>
      <c r="B25">
        <v>60</v>
      </c>
      <c r="C25">
        <v>30</v>
      </c>
      <c r="D25">
        <v>15</v>
      </c>
      <c r="E25" t="s">
        <v>23</v>
      </c>
      <c r="G25">
        <v>38</v>
      </c>
      <c r="H25">
        <v>50.6</v>
      </c>
      <c r="I25">
        <v>4</v>
      </c>
      <c r="T25">
        <v>24.3</v>
      </c>
      <c r="U25">
        <v>-59.7</v>
      </c>
      <c r="X25">
        <v>24.3</v>
      </c>
      <c r="Y25">
        <v>-89.7</v>
      </c>
      <c r="Z25">
        <v>24.3</v>
      </c>
      <c r="AA25">
        <v>-79.900000000000006</v>
      </c>
      <c r="AB25">
        <v>43.1</v>
      </c>
      <c r="AC25">
        <v>-138.6</v>
      </c>
    </row>
    <row r="26" spans="1:29">
      <c r="A26">
        <v>40</v>
      </c>
      <c r="B26">
        <v>60</v>
      </c>
      <c r="C26">
        <v>30</v>
      </c>
      <c r="D26">
        <v>30</v>
      </c>
      <c r="E26" t="s">
        <v>23</v>
      </c>
    </row>
    <row r="27" spans="1:29">
      <c r="A27">
        <v>40</v>
      </c>
      <c r="B27">
        <v>60</v>
      </c>
      <c r="C27">
        <v>30</v>
      </c>
      <c r="D27">
        <v>45</v>
      </c>
      <c r="E27" t="s">
        <v>23</v>
      </c>
    </row>
    <row r="28" spans="1:29">
      <c r="A28">
        <v>40</v>
      </c>
      <c r="B28">
        <v>60</v>
      </c>
      <c r="C28">
        <v>45</v>
      </c>
      <c r="D28">
        <v>15</v>
      </c>
      <c r="E28" t="s">
        <v>23</v>
      </c>
      <c r="G28">
        <v>53</v>
      </c>
      <c r="H28">
        <v>54.2</v>
      </c>
      <c r="I28">
        <v>4</v>
      </c>
      <c r="T28">
        <v>26</v>
      </c>
      <c r="U28">
        <v>-64</v>
      </c>
      <c r="X28">
        <v>26</v>
      </c>
      <c r="Y28">
        <v>-96.3</v>
      </c>
      <c r="Z28">
        <v>26</v>
      </c>
      <c r="AA28">
        <v>-110.3</v>
      </c>
      <c r="AB28">
        <v>46.3</v>
      </c>
      <c r="AC28">
        <v>-148.69999999999999</v>
      </c>
    </row>
    <row r="29" spans="1:29">
      <c r="A29">
        <v>40</v>
      </c>
      <c r="B29">
        <v>60</v>
      </c>
      <c r="C29">
        <v>45</v>
      </c>
      <c r="D29">
        <v>30</v>
      </c>
      <c r="E29" t="s">
        <v>23</v>
      </c>
    </row>
    <row r="30" spans="1:29">
      <c r="A30">
        <v>40</v>
      </c>
      <c r="B30">
        <v>60</v>
      </c>
      <c r="C30">
        <v>45</v>
      </c>
      <c r="D30">
        <v>45</v>
      </c>
      <c r="E30" t="s">
        <v>23</v>
      </c>
    </row>
    <row r="33" spans="1:5">
      <c r="A33">
        <v>50</v>
      </c>
      <c r="B33">
        <v>70</v>
      </c>
      <c r="C33">
        <v>0</v>
      </c>
      <c r="D33">
        <v>0</v>
      </c>
      <c r="E33" t="s">
        <v>19</v>
      </c>
    </row>
    <row r="34" spans="1:5">
      <c r="A34">
        <v>50</v>
      </c>
      <c r="B34">
        <v>70</v>
      </c>
      <c r="C34">
        <v>15</v>
      </c>
      <c r="D34">
        <v>15</v>
      </c>
      <c r="E34" t="s">
        <v>22</v>
      </c>
    </row>
    <row r="35" spans="1:5">
      <c r="A35">
        <v>50</v>
      </c>
      <c r="B35">
        <v>70</v>
      </c>
      <c r="C35">
        <v>15</v>
      </c>
      <c r="D35">
        <v>30</v>
      </c>
      <c r="E35" t="s">
        <v>22</v>
      </c>
    </row>
    <row r="36" spans="1:5">
      <c r="A36">
        <v>50</v>
      </c>
      <c r="B36">
        <v>70</v>
      </c>
      <c r="C36">
        <v>15</v>
      </c>
      <c r="D36">
        <v>45</v>
      </c>
      <c r="E36" t="s">
        <v>22</v>
      </c>
    </row>
    <row r="37" spans="1:5">
      <c r="A37">
        <v>50</v>
      </c>
      <c r="B37">
        <v>70</v>
      </c>
      <c r="C37">
        <v>30</v>
      </c>
      <c r="D37">
        <v>15</v>
      </c>
      <c r="E37" t="s">
        <v>22</v>
      </c>
    </row>
    <row r="38" spans="1:5">
      <c r="A38">
        <v>50</v>
      </c>
      <c r="B38">
        <v>70</v>
      </c>
      <c r="C38">
        <v>30</v>
      </c>
      <c r="D38">
        <v>30</v>
      </c>
      <c r="E38" t="s">
        <v>22</v>
      </c>
    </row>
    <row r="39" spans="1:5">
      <c r="A39">
        <v>50</v>
      </c>
      <c r="B39">
        <v>70</v>
      </c>
      <c r="C39">
        <v>30</v>
      </c>
      <c r="D39">
        <v>45</v>
      </c>
      <c r="E39" t="s">
        <v>22</v>
      </c>
    </row>
    <row r="40" spans="1:5">
      <c r="A40">
        <v>50</v>
      </c>
      <c r="B40">
        <v>70</v>
      </c>
      <c r="C40">
        <v>45</v>
      </c>
      <c r="D40">
        <v>15</v>
      </c>
      <c r="E40" t="s">
        <v>22</v>
      </c>
    </row>
    <row r="41" spans="1:5">
      <c r="A41">
        <v>50</v>
      </c>
      <c r="B41">
        <v>70</v>
      </c>
      <c r="C41">
        <v>45</v>
      </c>
      <c r="D41">
        <v>30</v>
      </c>
      <c r="E41" t="s">
        <v>22</v>
      </c>
    </row>
    <row r="42" spans="1:5">
      <c r="A42">
        <v>50</v>
      </c>
      <c r="B42">
        <v>70</v>
      </c>
      <c r="C42">
        <v>45</v>
      </c>
      <c r="D42">
        <v>45</v>
      </c>
      <c r="E42" t="s">
        <v>22</v>
      </c>
    </row>
    <row r="43" spans="1:5">
      <c r="A43">
        <v>50</v>
      </c>
      <c r="B43">
        <v>70</v>
      </c>
      <c r="C43">
        <v>15</v>
      </c>
      <c r="D43">
        <v>15</v>
      </c>
      <c r="E43" t="s">
        <v>23</v>
      </c>
    </row>
    <row r="44" spans="1:5">
      <c r="A44">
        <v>50</v>
      </c>
      <c r="B44">
        <v>70</v>
      </c>
      <c r="C44">
        <v>15</v>
      </c>
      <c r="D44">
        <v>30</v>
      </c>
      <c r="E44" t="s">
        <v>23</v>
      </c>
    </row>
    <row r="45" spans="1:5">
      <c r="A45">
        <v>50</v>
      </c>
      <c r="B45">
        <v>70</v>
      </c>
      <c r="C45">
        <v>15</v>
      </c>
      <c r="D45">
        <v>45</v>
      </c>
      <c r="E45" t="s">
        <v>23</v>
      </c>
    </row>
    <row r="46" spans="1:5">
      <c r="A46">
        <v>50</v>
      </c>
      <c r="B46">
        <v>70</v>
      </c>
      <c r="C46">
        <v>30</v>
      </c>
      <c r="D46">
        <v>15</v>
      </c>
      <c r="E46" t="s">
        <v>23</v>
      </c>
    </row>
    <row r="47" spans="1:5">
      <c r="A47">
        <v>50</v>
      </c>
      <c r="B47">
        <v>70</v>
      </c>
      <c r="C47">
        <v>30</v>
      </c>
      <c r="D47">
        <v>30</v>
      </c>
      <c r="E47" t="s">
        <v>23</v>
      </c>
    </row>
    <row r="48" spans="1:5">
      <c r="A48">
        <v>50</v>
      </c>
      <c r="B48">
        <v>70</v>
      </c>
      <c r="C48">
        <v>30</v>
      </c>
      <c r="D48">
        <v>45</v>
      </c>
      <c r="E48" t="s">
        <v>23</v>
      </c>
    </row>
    <row r="49" spans="1:5">
      <c r="A49">
        <v>50</v>
      </c>
      <c r="B49">
        <v>70</v>
      </c>
      <c r="C49">
        <v>45</v>
      </c>
      <c r="D49">
        <v>15</v>
      </c>
      <c r="E49" t="s">
        <v>23</v>
      </c>
    </row>
    <row r="50" spans="1:5">
      <c r="A50">
        <v>50</v>
      </c>
      <c r="B50">
        <v>70</v>
      </c>
      <c r="C50">
        <v>45</v>
      </c>
      <c r="D50">
        <v>30</v>
      </c>
      <c r="E50" t="s">
        <v>23</v>
      </c>
    </row>
    <row r="51" spans="1:5">
      <c r="A51">
        <v>50</v>
      </c>
      <c r="B51">
        <v>70</v>
      </c>
      <c r="C51">
        <v>45</v>
      </c>
      <c r="D51">
        <v>45</v>
      </c>
      <c r="E51" t="s">
        <v>23</v>
      </c>
    </row>
    <row r="54" spans="1:5">
      <c r="A54">
        <v>60</v>
      </c>
      <c r="B54">
        <v>80</v>
      </c>
      <c r="C54">
        <v>0</v>
      </c>
      <c r="D54">
        <v>0</v>
      </c>
      <c r="E54" t="s">
        <v>19</v>
      </c>
    </row>
    <row r="55" spans="1:5">
      <c r="A55">
        <v>60</v>
      </c>
      <c r="B55">
        <v>80</v>
      </c>
      <c r="C55">
        <v>15</v>
      </c>
      <c r="D55">
        <v>15</v>
      </c>
      <c r="E55" t="s">
        <v>22</v>
      </c>
    </row>
    <row r="56" spans="1:5">
      <c r="A56">
        <v>60</v>
      </c>
      <c r="B56">
        <v>80</v>
      </c>
      <c r="C56">
        <v>15</v>
      </c>
      <c r="D56">
        <v>30</v>
      </c>
      <c r="E56" t="s">
        <v>22</v>
      </c>
    </row>
    <row r="57" spans="1:5">
      <c r="A57">
        <v>60</v>
      </c>
      <c r="B57">
        <v>80</v>
      </c>
      <c r="C57">
        <v>15</v>
      </c>
      <c r="D57">
        <v>45</v>
      </c>
      <c r="E57" t="s">
        <v>22</v>
      </c>
    </row>
    <row r="58" spans="1:5">
      <c r="A58">
        <v>60</v>
      </c>
      <c r="B58">
        <v>80</v>
      </c>
      <c r="C58">
        <v>30</v>
      </c>
      <c r="D58">
        <v>15</v>
      </c>
      <c r="E58" t="s">
        <v>22</v>
      </c>
    </row>
    <row r="59" spans="1:5">
      <c r="A59">
        <v>60</v>
      </c>
      <c r="B59">
        <v>80</v>
      </c>
      <c r="C59">
        <v>30</v>
      </c>
      <c r="D59">
        <v>30</v>
      </c>
      <c r="E59" t="s">
        <v>22</v>
      </c>
    </row>
    <row r="60" spans="1:5">
      <c r="A60">
        <v>60</v>
      </c>
      <c r="B60">
        <v>80</v>
      </c>
      <c r="C60">
        <v>30</v>
      </c>
      <c r="D60">
        <v>45</v>
      </c>
      <c r="E60" t="s">
        <v>22</v>
      </c>
    </row>
    <row r="61" spans="1:5">
      <c r="A61">
        <v>60</v>
      </c>
      <c r="B61">
        <v>80</v>
      </c>
      <c r="C61">
        <v>45</v>
      </c>
      <c r="D61">
        <v>15</v>
      </c>
      <c r="E61" t="s">
        <v>22</v>
      </c>
    </row>
    <row r="62" spans="1:5">
      <c r="A62">
        <v>60</v>
      </c>
      <c r="B62">
        <v>80</v>
      </c>
      <c r="C62">
        <v>45</v>
      </c>
      <c r="D62">
        <v>30</v>
      </c>
      <c r="E62" t="s">
        <v>22</v>
      </c>
    </row>
    <row r="63" spans="1:5">
      <c r="A63">
        <v>60</v>
      </c>
      <c r="B63">
        <v>80</v>
      </c>
      <c r="C63">
        <v>45</v>
      </c>
      <c r="D63">
        <v>45</v>
      </c>
      <c r="E63" t="s">
        <v>22</v>
      </c>
    </row>
    <row r="64" spans="1:5">
      <c r="A64">
        <v>60</v>
      </c>
      <c r="B64">
        <v>80</v>
      </c>
      <c r="C64">
        <v>15</v>
      </c>
      <c r="D64">
        <v>15</v>
      </c>
      <c r="E64" t="s">
        <v>23</v>
      </c>
    </row>
    <row r="65" spans="1:5">
      <c r="A65">
        <v>60</v>
      </c>
      <c r="B65">
        <v>80</v>
      </c>
      <c r="C65">
        <v>15</v>
      </c>
      <c r="D65">
        <v>30</v>
      </c>
      <c r="E65" t="s">
        <v>23</v>
      </c>
    </row>
    <row r="66" spans="1:5">
      <c r="A66">
        <v>60</v>
      </c>
      <c r="B66">
        <v>80</v>
      </c>
      <c r="C66">
        <v>15</v>
      </c>
      <c r="D66">
        <v>45</v>
      </c>
      <c r="E66" t="s">
        <v>23</v>
      </c>
    </row>
    <row r="67" spans="1:5">
      <c r="A67">
        <v>60</v>
      </c>
      <c r="B67">
        <v>80</v>
      </c>
      <c r="C67">
        <v>30</v>
      </c>
      <c r="D67">
        <v>15</v>
      </c>
      <c r="E67" t="s">
        <v>23</v>
      </c>
    </row>
    <row r="68" spans="1:5">
      <c r="A68">
        <v>60</v>
      </c>
      <c r="B68">
        <v>80</v>
      </c>
      <c r="C68">
        <v>30</v>
      </c>
      <c r="D68">
        <v>30</v>
      </c>
      <c r="E68" t="s">
        <v>23</v>
      </c>
    </row>
    <row r="69" spans="1:5">
      <c r="A69">
        <v>60</v>
      </c>
      <c r="B69">
        <v>80</v>
      </c>
      <c r="C69">
        <v>30</v>
      </c>
      <c r="D69">
        <v>45</v>
      </c>
      <c r="E69" t="s">
        <v>23</v>
      </c>
    </row>
    <row r="70" spans="1:5">
      <c r="A70">
        <v>60</v>
      </c>
      <c r="B70">
        <v>80</v>
      </c>
      <c r="C70">
        <v>45</v>
      </c>
      <c r="D70">
        <v>15</v>
      </c>
      <c r="E70" t="s">
        <v>23</v>
      </c>
    </row>
    <row r="71" spans="1:5">
      <c r="A71">
        <v>60</v>
      </c>
      <c r="B71">
        <v>80</v>
      </c>
      <c r="C71">
        <v>45</v>
      </c>
      <c r="D71">
        <v>30</v>
      </c>
      <c r="E71" t="s">
        <v>23</v>
      </c>
    </row>
    <row r="72" spans="1:5">
      <c r="A72">
        <v>60</v>
      </c>
      <c r="B72">
        <v>80</v>
      </c>
      <c r="C72">
        <v>45</v>
      </c>
      <c r="D72">
        <v>45</v>
      </c>
      <c r="E72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6C027-713D-42A8-A3F2-4BC71F239850}">
  <dimension ref="A1:O25"/>
  <sheetViews>
    <sheetView workbookViewId="0">
      <selection activeCell="A24" sqref="A24"/>
    </sheetView>
  </sheetViews>
  <sheetFormatPr defaultRowHeight="14.25"/>
  <cols>
    <col min="2" max="2" width="25.125" customWidth="1"/>
    <col min="7" max="7" width="12.875" customWidth="1"/>
  </cols>
  <sheetData>
    <row r="1" spans="1:15" s="1" customFormat="1" ht="15">
      <c r="A1" s="1" t="s">
        <v>92</v>
      </c>
    </row>
    <row r="2" spans="1:15">
      <c r="A2" t="s">
        <v>62</v>
      </c>
      <c r="K2" t="s">
        <v>86</v>
      </c>
      <c r="L2" s="5">
        <v>0.18</v>
      </c>
    </row>
    <row r="3" spans="1:15">
      <c r="A3" t="s">
        <v>63</v>
      </c>
      <c r="G3" t="s">
        <v>59</v>
      </c>
      <c r="K3" t="s">
        <v>79</v>
      </c>
      <c r="L3" s="5">
        <v>0.85</v>
      </c>
    </row>
    <row r="4" spans="1:15" ht="15">
      <c r="A4" s="1" t="s">
        <v>49</v>
      </c>
      <c r="B4" s="5">
        <v>40</v>
      </c>
      <c r="C4" t="s">
        <v>1</v>
      </c>
      <c r="E4" t="s">
        <v>55</v>
      </c>
      <c r="F4">
        <f>MIN(H4,H5)</f>
        <v>4</v>
      </c>
      <c r="G4" t="s">
        <v>56</v>
      </c>
      <c r="H4">
        <f>0.4*B7</f>
        <v>6</v>
      </c>
      <c r="I4" t="s">
        <v>1</v>
      </c>
      <c r="K4" t="s">
        <v>76</v>
      </c>
      <c r="L4" s="5">
        <v>0.85</v>
      </c>
      <c r="M4" t="s">
        <v>77</v>
      </c>
      <c r="N4">
        <v>0.85</v>
      </c>
      <c r="O4" t="s">
        <v>90</v>
      </c>
    </row>
    <row r="5" spans="1:15" ht="15" thickBot="1">
      <c r="A5" t="s">
        <v>48</v>
      </c>
      <c r="B5" s="5">
        <v>60</v>
      </c>
      <c r="C5" t="s">
        <v>1</v>
      </c>
      <c r="G5" t="s">
        <v>58</v>
      </c>
      <c r="H5">
        <f>0.1*MIN(B4,B5)</f>
        <v>4</v>
      </c>
      <c r="I5" t="s">
        <v>1</v>
      </c>
      <c r="N5">
        <v>0.96</v>
      </c>
      <c r="O5" t="s">
        <v>91</v>
      </c>
    </row>
    <row r="6" spans="1:15" ht="15" thickBot="1">
      <c r="A6" t="s">
        <v>50</v>
      </c>
      <c r="B6" s="5">
        <v>15</v>
      </c>
      <c r="C6" t="s">
        <v>1</v>
      </c>
      <c r="E6" t="s">
        <v>60</v>
      </c>
      <c r="F6">
        <f>MAX(H6:H7)</f>
        <v>3</v>
      </c>
      <c r="G6" t="s">
        <v>61</v>
      </c>
      <c r="H6">
        <f>0.04*MIN(B4,B5)</f>
        <v>1.6</v>
      </c>
      <c r="I6" t="s">
        <v>1</v>
      </c>
      <c r="K6" s="3" t="s">
        <v>78</v>
      </c>
      <c r="L6" s="4">
        <f>0.00256*B8*B8*L4*L3</f>
        <v>41.616</v>
      </c>
      <c r="M6" t="s">
        <v>40</v>
      </c>
    </row>
    <row r="7" spans="1:15" ht="15" thickBot="1">
      <c r="A7" t="s">
        <v>57</v>
      </c>
      <c r="B7" s="5">
        <v>15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51</v>
      </c>
      <c r="B8" s="5">
        <v>150</v>
      </c>
      <c r="C8" t="s">
        <v>52</v>
      </c>
      <c r="E8" s="3" t="s">
        <v>55</v>
      </c>
      <c r="F8" s="4">
        <f>MAX(F6,F4)</f>
        <v>4</v>
      </c>
      <c r="G8" t="s">
        <v>1</v>
      </c>
    </row>
    <row r="10" spans="1:15" ht="15">
      <c r="A10" s="1" t="s">
        <v>72</v>
      </c>
      <c r="G10" t="s">
        <v>80</v>
      </c>
      <c r="H10" t="s">
        <v>80</v>
      </c>
      <c r="I10" t="s">
        <v>81</v>
      </c>
      <c r="J10" t="s">
        <v>82</v>
      </c>
      <c r="L10" t="s">
        <v>88</v>
      </c>
      <c r="M10" t="s">
        <v>89</v>
      </c>
    </row>
    <row r="11" spans="1:15">
      <c r="A11" t="s">
        <v>53</v>
      </c>
      <c r="C11" t="s">
        <v>65</v>
      </c>
      <c r="E11" t="s">
        <v>74</v>
      </c>
      <c r="F11" t="s">
        <v>75</v>
      </c>
      <c r="G11" t="s">
        <v>84</v>
      </c>
      <c r="H11" t="s">
        <v>85</v>
      </c>
      <c r="I11" t="s">
        <v>83</v>
      </c>
      <c r="J11" s="6" t="s">
        <v>87</v>
      </c>
      <c r="L11" t="s">
        <v>40</v>
      </c>
      <c r="M11" t="s">
        <v>40</v>
      </c>
    </row>
    <row r="12" spans="1:15">
      <c r="A12" t="s">
        <v>54</v>
      </c>
      <c r="B12" t="s">
        <v>68</v>
      </c>
      <c r="C12">
        <f>($B$5-2.4*$B$7)*($B$4-2.4*$B$7)</f>
        <v>96</v>
      </c>
      <c r="E12">
        <v>0.20399999999999999</v>
      </c>
      <c r="F12">
        <v>-0.9</v>
      </c>
      <c r="G12">
        <f>$L$6*E12</f>
        <v>8.4896639999999994</v>
      </c>
      <c r="H12">
        <f>$L$6*F12</f>
        <v>-37.4544</v>
      </c>
      <c r="I12">
        <f>$L$6*$L$2</f>
        <v>7.4908799999999998</v>
      </c>
      <c r="J12">
        <f>-$L$6*$L$2</f>
        <v>-7.4908799999999998</v>
      </c>
      <c r="L12">
        <f>G12+I12</f>
        <v>15.980543999999998</v>
      </c>
      <c r="M12">
        <f>H12+J12</f>
        <v>-44.945279999999997</v>
      </c>
    </row>
    <row r="13" spans="1:15">
      <c r="A13">
        <v>1</v>
      </c>
      <c r="B13" t="s">
        <v>69</v>
      </c>
      <c r="C13">
        <f>($B$5-1.2*$B$7)*($B$4-1.2*$B$7)-C12</f>
        <v>828</v>
      </c>
      <c r="E13">
        <v>0.2</v>
      </c>
      <c r="F13">
        <v>-1</v>
      </c>
      <c r="G13">
        <f t="shared" ref="G13:G15" si="0">$L$6*E13</f>
        <v>8.3231999999999999</v>
      </c>
      <c r="H13">
        <f t="shared" ref="H13:H15" si="1">$L$6*F13</f>
        <v>-41.616</v>
      </c>
      <c r="I13">
        <f t="shared" ref="I13:I15" si="2">$L$6*$L$2</f>
        <v>7.4908799999999998</v>
      </c>
      <c r="J13">
        <f t="shared" ref="J13:J15" si="3">-$L$6*$L$2</f>
        <v>-7.4908799999999998</v>
      </c>
      <c r="L13">
        <f t="shared" ref="L13:L15" si="4">G13+I13</f>
        <v>15.814080000000001</v>
      </c>
      <c r="M13">
        <f t="shared" ref="M13:M15" si="5">H13+J13</f>
        <v>-49.106879999999997</v>
      </c>
    </row>
    <row r="14" spans="1:15">
      <c r="A14">
        <v>2</v>
      </c>
      <c r="B14" t="s">
        <v>70</v>
      </c>
      <c r="C14">
        <f>B4*B5-C12-C13-4*C15</f>
        <v>1296</v>
      </c>
      <c r="E14">
        <v>0.2</v>
      </c>
      <c r="F14">
        <v>-1.4</v>
      </c>
      <c r="G14">
        <f t="shared" si="0"/>
        <v>8.3231999999999999</v>
      </c>
      <c r="H14">
        <f t="shared" si="1"/>
        <v>-58.262399999999992</v>
      </c>
      <c r="I14">
        <f t="shared" si="2"/>
        <v>7.4908799999999998</v>
      </c>
      <c r="J14">
        <f t="shared" si="3"/>
        <v>-7.4908799999999998</v>
      </c>
      <c r="L14">
        <f t="shared" si="4"/>
        <v>15.814080000000001</v>
      </c>
      <c r="M14">
        <f t="shared" si="5"/>
        <v>-65.75327999999999</v>
      </c>
    </row>
    <row r="15" spans="1:15">
      <c r="A15">
        <v>3</v>
      </c>
      <c r="B15" t="s">
        <v>67</v>
      </c>
      <c r="C15">
        <f>0.2*$B$7*$B$7</f>
        <v>45</v>
      </c>
      <c r="E15">
        <v>0.23</v>
      </c>
      <c r="F15">
        <v>-2.5499999999999998</v>
      </c>
      <c r="G15">
        <f t="shared" si="0"/>
        <v>9.5716800000000006</v>
      </c>
      <c r="H15">
        <f t="shared" si="1"/>
        <v>-106.12079999999999</v>
      </c>
      <c r="I15">
        <f t="shared" si="2"/>
        <v>7.4908799999999998</v>
      </c>
      <c r="J15">
        <f t="shared" si="3"/>
        <v>-7.4908799999999998</v>
      </c>
      <c r="L15">
        <f t="shared" si="4"/>
        <v>17.062560000000001</v>
      </c>
      <c r="M15">
        <f t="shared" si="5"/>
        <v>-113.61167999999999</v>
      </c>
    </row>
    <row r="16" spans="1:15" ht="15">
      <c r="B16" s="1" t="s">
        <v>71</v>
      </c>
      <c r="C16" s="1">
        <f>C12+C13+C14+4*C15</f>
        <v>2400</v>
      </c>
      <c r="D16" t="str">
        <f>IF(C16=B4*B5,"OK","ERROR")</f>
        <v>OK</v>
      </c>
    </row>
    <row r="19" spans="1:13" ht="15">
      <c r="A19" s="1" t="s">
        <v>106</v>
      </c>
    </row>
    <row r="20" spans="1:13">
      <c r="A20">
        <v>4</v>
      </c>
      <c r="B20" t="s">
        <v>73</v>
      </c>
      <c r="C20">
        <f>($B$5-2*$F$8)*($B$6)</f>
        <v>780</v>
      </c>
      <c r="E20">
        <v>0.71</v>
      </c>
      <c r="F20">
        <v>-0.8</v>
      </c>
      <c r="G20">
        <f t="shared" ref="G20:G21" si="6">$L$6*E20</f>
        <v>29.547359999999998</v>
      </c>
      <c r="H20">
        <f t="shared" ref="H20:H21" si="7">$L$6*F20</f>
        <v>-33.2928</v>
      </c>
      <c r="I20">
        <f t="shared" ref="I20:I21" si="8">$L$6*$L$2</f>
        <v>7.4908799999999998</v>
      </c>
      <c r="J20">
        <f t="shared" ref="J20:J21" si="9">-$L$6*$L$2</f>
        <v>-7.4908799999999998</v>
      </c>
      <c r="L20">
        <f t="shared" ref="L20:L21" si="10">G20+I20</f>
        <v>37.038239999999995</v>
      </c>
      <c r="M20">
        <f>H20+J20</f>
        <v>-40.783679999999997</v>
      </c>
    </row>
    <row r="21" spans="1:13">
      <c r="A21">
        <v>5</v>
      </c>
      <c r="B21" t="s">
        <v>64</v>
      </c>
      <c r="C21">
        <f>F8*B6</f>
        <v>60</v>
      </c>
      <c r="E21">
        <v>0.83</v>
      </c>
      <c r="F21">
        <v>-1.1499999999999999</v>
      </c>
      <c r="G21">
        <f t="shared" si="6"/>
        <v>34.54128</v>
      </c>
      <c r="H21">
        <f t="shared" si="7"/>
        <v>-47.858399999999996</v>
      </c>
      <c r="I21">
        <f t="shared" si="8"/>
        <v>7.4908799999999998</v>
      </c>
      <c r="J21">
        <f t="shared" si="9"/>
        <v>-7.4908799999999998</v>
      </c>
      <c r="L21">
        <f t="shared" si="10"/>
        <v>42.032159999999998</v>
      </c>
      <c r="M21">
        <f>H21+J21</f>
        <v>-55.349279999999993</v>
      </c>
    </row>
    <row r="23" spans="1:13" ht="15">
      <c r="A23" s="1" t="s">
        <v>107</v>
      </c>
    </row>
    <row r="24" spans="1:13">
      <c r="A24">
        <v>4</v>
      </c>
      <c r="B24" t="s">
        <v>66</v>
      </c>
      <c r="C24">
        <f>($B$4-2*$F$8)*($B$6)</f>
        <v>480</v>
      </c>
      <c r="E24">
        <v>0.71</v>
      </c>
      <c r="F24">
        <v>-0.81</v>
      </c>
      <c r="G24">
        <f t="shared" ref="G24:G25" si="11">$L$6*E24</f>
        <v>29.547359999999998</v>
      </c>
      <c r="H24">
        <f t="shared" ref="H24:H25" si="12">$L$6*F24</f>
        <v>-33.708960000000005</v>
      </c>
      <c r="I24">
        <f t="shared" ref="I24:I25" si="13">$L$6*$L$2</f>
        <v>7.4908799999999998</v>
      </c>
      <c r="J24">
        <f t="shared" ref="J24:J25" si="14">-$L$6*$L$2</f>
        <v>-7.4908799999999998</v>
      </c>
      <c r="L24">
        <f t="shared" ref="L24" si="15">G24+I24</f>
        <v>37.038239999999995</v>
      </c>
      <c r="M24">
        <f>H24+J24</f>
        <v>-41.199840000000002</v>
      </c>
    </row>
    <row r="25" spans="1:13">
      <c r="A25">
        <v>5</v>
      </c>
      <c r="B25" t="s">
        <v>64</v>
      </c>
      <c r="C25">
        <f>$F$8*B6</f>
        <v>60</v>
      </c>
      <c r="E25">
        <v>0.83</v>
      </c>
      <c r="F25">
        <v>-1.1499999999999999</v>
      </c>
      <c r="G25">
        <f t="shared" si="11"/>
        <v>34.54128</v>
      </c>
      <c r="H25">
        <f t="shared" si="12"/>
        <v>-47.858399999999996</v>
      </c>
      <c r="I25">
        <f t="shared" si="13"/>
        <v>7.4908799999999998</v>
      </c>
      <c r="J25">
        <f t="shared" si="14"/>
        <v>-7.4908799999999998</v>
      </c>
      <c r="L25">
        <f t="shared" ref="L25" si="16">G25+I25</f>
        <v>42.032159999999998</v>
      </c>
      <c r="M25">
        <f>H25+J25</f>
        <v>-55.349279999999993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C204F-B815-41FF-8AD4-130B8F24A18C}">
  <dimension ref="A1:O30"/>
  <sheetViews>
    <sheetView tabSelected="1" workbookViewId="0">
      <selection activeCell="F28" sqref="F28"/>
    </sheetView>
  </sheetViews>
  <sheetFormatPr defaultRowHeight="14.25"/>
  <cols>
    <col min="2" max="2" width="33.75" customWidth="1"/>
    <col min="7" max="7" width="12.875" customWidth="1"/>
  </cols>
  <sheetData>
    <row r="1" spans="1:15" s="1" customFormat="1" ht="15">
      <c r="A1" s="1" t="s">
        <v>93</v>
      </c>
    </row>
    <row r="2" spans="1:15">
      <c r="A2" t="s">
        <v>62</v>
      </c>
      <c r="K2" t="s">
        <v>86</v>
      </c>
      <c r="L2" s="5">
        <v>0.18</v>
      </c>
    </row>
    <row r="3" spans="1:15">
      <c r="A3" t="s">
        <v>63</v>
      </c>
      <c r="G3" t="s">
        <v>59</v>
      </c>
      <c r="K3" t="s">
        <v>79</v>
      </c>
      <c r="L3" s="5">
        <v>0.85</v>
      </c>
    </row>
    <row r="4" spans="1:15" ht="15">
      <c r="A4" s="1" t="s">
        <v>49</v>
      </c>
      <c r="B4" s="5">
        <v>40</v>
      </c>
      <c r="C4" t="s">
        <v>1</v>
      </c>
      <c r="E4" t="s">
        <v>55</v>
      </c>
      <c r="F4">
        <f>MIN(H4,H5)</f>
        <v>4</v>
      </c>
      <c r="G4" t="s">
        <v>56</v>
      </c>
      <c r="H4">
        <f>0.4*B7</f>
        <v>8.1424555792624798</v>
      </c>
      <c r="I4" t="s">
        <v>1</v>
      </c>
      <c r="K4" t="s">
        <v>76</v>
      </c>
      <c r="L4" s="5">
        <v>0.91</v>
      </c>
      <c r="N4">
        <v>0.85</v>
      </c>
      <c r="O4" t="s">
        <v>90</v>
      </c>
    </row>
    <row r="5" spans="1:15" ht="15" thickBot="1">
      <c r="A5" t="s">
        <v>48</v>
      </c>
      <c r="B5" s="5">
        <v>60</v>
      </c>
      <c r="C5" t="s">
        <v>1</v>
      </c>
      <c r="G5" t="s">
        <v>58</v>
      </c>
      <c r="H5">
        <f>0.1*MIN(B4,B5)</f>
        <v>4</v>
      </c>
      <c r="I5" t="s">
        <v>1</v>
      </c>
      <c r="N5">
        <v>0.91</v>
      </c>
      <c r="O5" t="s">
        <v>104</v>
      </c>
    </row>
    <row r="6" spans="1:15" ht="15" thickBot="1">
      <c r="A6" t="s">
        <v>50</v>
      </c>
      <c r="B6" s="5">
        <v>15</v>
      </c>
      <c r="C6" t="s">
        <v>1</v>
      </c>
      <c r="E6" t="s">
        <v>60</v>
      </c>
      <c r="F6">
        <f>MAX(H6:H7)</f>
        <v>3</v>
      </c>
      <c r="G6" t="s">
        <v>61</v>
      </c>
      <c r="H6">
        <f>0.04*MIN(B4,B5)</f>
        <v>1.6</v>
      </c>
      <c r="I6" t="s">
        <v>1</v>
      </c>
      <c r="K6" s="3" t="s">
        <v>78</v>
      </c>
      <c r="L6" s="4">
        <f>0.00256*B9*B9*L4*L3</f>
        <v>44.553600000000003</v>
      </c>
      <c r="M6" t="s">
        <v>40</v>
      </c>
      <c r="N6">
        <v>0.96</v>
      </c>
      <c r="O6" t="s">
        <v>91</v>
      </c>
    </row>
    <row r="7" spans="1:15" ht="15" thickBot="1">
      <c r="A7" t="s">
        <v>57</v>
      </c>
      <c r="B7" s="7">
        <f>$B$6+TAN($B$8 * 6.28 / 360)*$B$4/2</f>
        <v>20.356138948156197</v>
      </c>
      <c r="C7" t="s">
        <v>1</v>
      </c>
      <c r="G7">
        <v>3</v>
      </c>
      <c r="H7">
        <v>3</v>
      </c>
      <c r="I7" t="s">
        <v>1</v>
      </c>
    </row>
    <row r="8" spans="1:15" ht="15" thickBot="1">
      <c r="A8" t="s">
        <v>94</v>
      </c>
      <c r="B8" s="5">
        <v>15</v>
      </c>
      <c r="C8" t="s">
        <v>42</v>
      </c>
      <c r="E8" s="3" t="s">
        <v>55</v>
      </c>
      <c r="F8" s="4">
        <f>MAX(F6,F4)</f>
        <v>4</v>
      </c>
      <c r="G8" t="s">
        <v>1</v>
      </c>
    </row>
    <row r="9" spans="1:15">
      <c r="A9" t="s">
        <v>51</v>
      </c>
      <c r="B9" s="5">
        <v>150</v>
      </c>
      <c r="C9" t="s">
        <v>52</v>
      </c>
    </row>
    <row r="10" spans="1:15">
      <c r="B10" s="5"/>
    </row>
    <row r="11" spans="1:15" ht="15">
      <c r="A11" s="1" t="s">
        <v>72</v>
      </c>
      <c r="G11" t="s">
        <v>80</v>
      </c>
      <c r="H11" t="s">
        <v>80</v>
      </c>
      <c r="I11" t="s">
        <v>81</v>
      </c>
      <c r="J11" t="s">
        <v>82</v>
      </c>
      <c r="L11" t="s">
        <v>88</v>
      </c>
      <c r="M11" t="s">
        <v>89</v>
      </c>
    </row>
    <row r="12" spans="1:15">
      <c r="A12" t="s">
        <v>53</v>
      </c>
      <c r="C12" t="s">
        <v>65</v>
      </c>
      <c r="E12" t="s">
        <v>74</v>
      </c>
      <c r="F12" t="s">
        <v>75</v>
      </c>
      <c r="G12" t="s">
        <v>84</v>
      </c>
      <c r="H12" t="s">
        <v>85</v>
      </c>
      <c r="I12" t="s">
        <v>83</v>
      </c>
      <c r="J12" s="6" t="s">
        <v>87</v>
      </c>
      <c r="L12" t="s">
        <v>40</v>
      </c>
      <c r="M12" t="s">
        <v>40</v>
      </c>
    </row>
    <row r="13" spans="1:15">
      <c r="A13" t="s">
        <v>95</v>
      </c>
      <c r="B13" t="s">
        <v>100</v>
      </c>
      <c r="C13">
        <f>F8*F8</f>
        <v>16</v>
      </c>
      <c r="E13">
        <v>0.48</v>
      </c>
      <c r="F13">
        <v>-2.74</v>
      </c>
      <c r="G13">
        <f>$L$6*E13</f>
        <v>21.385728</v>
      </c>
      <c r="H13">
        <f>$L$6*F13</f>
        <v>-122.07686400000001</v>
      </c>
      <c r="I13">
        <f>$L$6*$L$2</f>
        <v>8.0196480000000001</v>
      </c>
      <c r="J13">
        <f>-$L$6*$L$2</f>
        <v>-8.0196480000000001</v>
      </c>
      <c r="L13">
        <f>G13+I13</f>
        <v>29.405376</v>
      </c>
      <c r="M13">
        <f>H13+J13</f>
        <v>-130.09651200000002</v>
      </c>
    </row>
    <row r="14" spans="1:15">
      <c r="A14" t="s">
        <v>96</v>
      </c>
      <c r="B14" t="s">
        <v>100</v>
      </c>
      <c r="C14">
        <f>F8*F8</f>
        <v>16</v>
      </c>
      <c r="E14">
        <v>0.5</v>
      </c>
      <c r="F14">
        <v>-3.35</v>
      </c>
      <c r="G14">
        <f t="shared" ref="G14:G18" si="0">$L$6*E14</f>
        <v>22.276800000000001</v>
      </c>
      <c r="H14">
        <f t="shared" ref="H14:H18" si="1">$L$6*F14</f>
        <v>-149.25456000000003</v>
      </c>
      <c r="I14">
        <f t="shared" ref="I14:I18" si="2">$L$6*$L$2</f>
        <v>8.0196480000000001</v>
      </c>
      <c r="J14">
        <f t="shared" ref="J14:J18" si="3">-$L$6*$L$2</f>
        <v>-8.0196480000000001</v>
      </c>
      <c r="L14">
        <f t="shared" ref="L14:L18" si="4">G14+I14</f>
        <v>30.296448000000002</v>
      </c>
      <c r="M14">
        <f t="shared" ref="M14:M18" si="5">H14+J14</f>
        <v>-157.27420800000002</v>
      </c>
    </row>
    <row r="15" spans="1:15">
      <c r="A15" t="s">
        <v>97</v>
      </c>
      <c r="B15" t="s">
        <v>101</v>
      </c>
      <c r="C15">
        <f>(B4/2-2*F8)*F8</f>
        <v>48</v>
      </c>
      <c r="E15">
        <v>0.38</v>
      </c>
      <c r="F15">
        <v>-2.02</v>
      </c>
      <c r="G15">
        <f t="shared" si="0"/>
        <v>16.930368000000001</v>
      </c>
      <c r="H15">
        <f t="shared" si="1"/>
        <v>-89.998272</v>
      </c>
      <c r="I15">
        <f t="shared" si="2"/>
        <v>8.0196480000000001</v>
      </c>
      <c r="J15">
        <f t="shared" si="3"/>
        <v>-8.0196480000000001</v>
      </c>
      <c r="L15">
        <f t="shared" si="4"/>
        <v>24.950016000000002</v>
      </c>
      <c r="M15">
        <f t="shared" si="5"/>
        <v>-98.017920000000004</v>
      </c>
    </row>
    <row r="16" spans="1:15">
      <c r="A16" t="s">
        <v>98</v>
      </c>
      <c r="B16" t="s">
        <v>102</v>
      </c>
      <c r="C16">
        <f>(B5-2*F8)*F8</f>
        <v>208</v>
      </c>
      <c r="E16">
        <v>0.3</v>
      </c>
      <c r="F16">
        <v>-0.5</v>
      </c>
      <c r="G16">
        <f t="shared" si="0"/>
        <v>13.36608</v>
      </c>
      <c r="H16">
        <f t="shared" si="1"/>
        <v>-22.276800000000001</v>
      </c>
      <c r="I16">
        <f t="shared" si="2"/>
        <v>8.0196480000000001</v>
      </c>
      <c r="J16">
        <f t="shared" si="3"/>
        <v>-8.0196480000000001</v>
      </c>
      <c r="L16">
        <f t="shared" si="4"/>
        <v>21.385728</v>
      </c>
      <c r="M16">
        <f t="shared" si="5"/>
        <v>-30.296448000000002</v>
      </c>
    </row>
    <row r="17" spans="1:13">
      <c r="A17" t="s">
        <v>99</v>
      </c>
      <c r="B17" t="s">
        <v>102</v>
      </c>
      <c r="C17">
        <f>(B5-2*$F$8)*$F$8</f>
        <v>208</v>
      </c>
      <c r="E17">
        <v>0.3</v>
      </c>
      <c r="F17">
        <v>-1.1000000000000001</v>
      </c>
      <c r="G17">
        <f t="shared" si="0"/>
        <v>13.36608</v>
      </c>
      <c r="H17">
        <f t="shared" si="1"/>
        <v>-49.008960000000009</v>
      </c>
      <c r="I17">
        <f t="shared" si="2"/>
        <v>8.0196480000000001</v>
      </c>
      <c r="J17">
        <f t="shared" si="3"/>
        <v>-8.0196480000000001</v>
      </c>
      <c r="L17">
        <f t="shared" si="4"/>
        <v>21.385728</v>
      </c>
      <c r="M17">
        <f t="shared" si="5"/>
        <v>-57.028608000000006</v>
      </c>
    </row>
    <row r="18" spans="1:13">
      <c r="A18">
        <v>1</v>
      </c>
      <c r="B18" t="s">
        <v>103</v>
      </c>
      <c r="C18">
        <f>($B$5*$B$4/2)-2*C13-2*C14-2*C15-C16-C17</f>
        <v>624</v>
      </c>
      <c r="E18">
        <v>0.3</v>
      </c>
      <c r="F18">
        <v>-0.5</v>
      </c>
      <c r="G18">
        <f t="shared" si="0"/>
        <v>13.36608</v>
      </c>
      <c r="H18">
        <f t="shared" si="1"/>
        <v>-22.276800000000001</v>
      </c>
      <c r="I18">
        <f t="shared" si="2"/>
        <v>8.0196480000000001</v>
      </c>
      <c r="J18">
        <f t="shared" si="3"/>
        <v>-8.0196480000000001</v>
      </c>
      <c r="L18">
        <f t="shared" si="4"/>
        <v>21.385728</v>
      </c>
      <c r="M18">
        <f t="shared" si="5"/>
        <v>-30.296448000000002</v>
      </c>
    </row>
    <row r="19" spans="1:13" ht="15">
      <c r="B19" t="s">
        <v>71</v>
      </c>
      <c r="C19" s="1">
        <f>C18+2*C13+2*C14+2*C15+C16+C17</f>
        <v>1200</v>
      </c>
      <c r="D19" t="str">
        <f>IF(C19=B4*B5/2,"OK","ERROR")</f>
        <v>OK</v>
      </c>
    </row>
    <row r="21" spans="1:13" ht="15">
      <c r="A21" s="1" t="s">
        <v>106</v>
      </c>
    </row>
    <row r="22" spans="1:13">
      <c r="A22">
        <v>5</v>
      </c>
      <c r="B22" t="s">
        <v>64</v>
      </c>
      <c r="C22">
        <f>F8*B6</f>
        <v>60</v>
      </c>
      <c r="E22">
        <v>0.83</v>
      </c>
      <c r="F22">
        <v>-1.1299999999999999</v>
      </c>
      <c r="G22">
        <f>$L$6*E22</f>
        <v>36.979488000000003</v>
      </c>
      <c r="H22">
        <f>$L$6*F22</f>
        <v>-50.345568</v>
      </c>
      <c r="I22">
        <f t="shared" ref="I22:I24" si="6">$L$6*$L$2</f>
        <v>8.0196480000000001</v>
      </c>
      <c r="J22">
        <f t="shared" ref="J22:J24" si="7">-$L$6*$L$2</f>
        <v>-8.0196480000000001</v>
      </c>
      <c r="L22">
        <f>G22+I22</f>
        <v>44.999136000000007</v>
      </c>
      <c r="M22">
        <f>H22+J22</f>
        <v>-58.365216000000004</v>
      </c>
    </row>
    <row r="23" spans="1:13">
      <c r="A23">
        <v>4</v>
      </c>
      <c r="B23" t="s">
        <v>73</v>
      </c>
      <c r="C23">
        <f>($B$5-2*$F$8)*($B$6)</f>
        <v>780</v>
      </c>
      <c r="E23">
        <v>0.71</v>
      </c>
      <c r="F23">
        <v>-0.8</v>
      </c>
      <c r="G23">
        <f>$L$6*E23</f>
        <v>31.633056</v>
      </c>
      <c r="H23">
        <f>$L$6*F23</f>
        <v>-35.642880000000005</v>
      </c>
      <c r="I23">
        <f t="shared" si="6"/>
        <v>8.0196480000000001</v>
      </c>
      <c r="J23">
        <f t="shared" si="7"/>
        <v>-8.0196480000000001</v>
      </c>
      <c r="L23">
        <f>G23+I23</f>
        <v>39.652704</v>
      </c>
      <c r="M23">
        <f>H23+J23</f>
        <v>-43.662528000000009</v>
      </c>
    </row>
    <row r="25" spans="1:13" ht="15">
      <c r="A25" s="1" t="s">
        <v>107</v>
      </c>
    </row>
    <row r="26" spans="1:13">
      <c r="A26">
        <v>5</v>
      </c>
      <c r="B26" t="s">
        <v>105</v>
      </c>
      <c r="C26">
        <f>0.5*($B$6+$B$6+$F$8*TAN(RADIANS($B$8)))*$F$8</f>
        <v>62.143593539448979</v>
      </c>
      <c r="E26">
        <v>0.83</v>
      </c>
      <c r="F26">
        <v>-1.1299999999999999</v>
      </c>
      <c r="G26">
        <f>$L$6*E26</f>
        <v>36.979488000000003</v>
      </c>
      <c r="H26">
        <f>$L$6*F26</f>
        <v>-50.345568</v>
      </c>
      <c r="I26">
        <f t="shared" ref="I26:I28" si="8">$L$6*$L$2</f>
        <v>8.0196480000000001</v>
      </c>
      <c r="J26">
        <f t="shared" ref="J26:J28" si="9">-$L$6*$L$2</f>
        <v>-8.0196480000000001</v>
      </c>
      <c r="L26">
        <f>G26+I26</f>
        <v>44.999136000000007</v>
      </c>
      <c r="M26">
        <f>H26+J26</f>
        <v>-58.365216000000004</v>
      </c>
    </row>
    <row r="27" spans="1:13">
      <c r="A27">
        <v>4</v>
      </c>
      <c r="C27">
        <f>($B$6*$B$4)+0.5*$B$4/2*TAN(RADIANS(B8))*$B$4  - 2*C26</f>
        <v>582.8924898935511</v>
      </c>
      <c r="E27">
        <v>0.7</v>
      </c>
      <c r="F27">
        <v>-0.8</v>
      </c>
      <c r="G27">
        <f>$L$6*E27</f>
        <v>31.187519999999999</v>
      </c>
      <c r="H27">
        <f>$L$6*F27</f>
        <v>-35.642880000000005</v>
      </c>
      <c r="I27">
        <f t="shared" si="8"/>
        <v>8.0196480000000001</v>
      </c>
      <c r="J27">
        <f t="shared" si="9"/>
        <v>-8.0196480000000001</v>
      </c>
      <c r="L27">
        <f>G27+I27</f>
        <v>39.207167999999996</v>
      </c>
      <c r="M27">
        <f>H27+J27</f>
        <v>-43.662528000000009</v>
      </c>
    </row>
    <row r="30" spans="1:13">
      <c r="B30">
        <f>TAN($B$8*6.28/360)</f>
        <v>0.2678069474078098</v>
      </c>
      <c r="C30">
        <f>B30*F8</f>
        <v>1.0712277896312392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20E2-F01C-4F60-9B3D-82EC74076ADF}">
  <dimension ref="A1"/>
  <sheetViews>
    <sheetView workbookViewId="0">
      <selection activeCell="C16" sqref="A2:C16"/>
    </sheetView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Exposure C</vt:lpstr>
      <vt:lpstr>40x60 FLAT ASCE7-16</vt:lpstr>
      <vt:lpstr>40x60 GABLE ASCE7-16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James Allen</cp:lastModifiedBy>
  <dcterms:created xsi:type="dcterms:W3CDTF">2025-07-22T19:31:00Z</dcterms:created>
  <dcterms:modified xsi:type="dcterms:W3CDTF">2025-07-23T16:12:19Z</dcterms:modified>
</cp:coreProperties>
</file>