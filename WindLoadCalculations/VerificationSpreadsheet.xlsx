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E78B4F1C-D5B9-4837-9C78-02618DB4DFD7}" xr6:coauthVersionLast="47" xr6:coauthVersionMax="47" xr10:uidLastSave="{00000000-0000-0000-0000-000000000000}"/>
  <bookViews>
    <workbookView xWindow="-25455" yWindow="645" windowWidth="22905" windowHeight="14130" activeTab="3" xr2:uid="{7D93B743-C6BA-493F-B145-C673A908EA6D}"/>
  </bookViews>
  <sheets>
    <sheet name="ASCE7-16 ExpC" sheetId="1" r:id="rId1"/>
    <sheet name="ASCE7-22 ExpC" sheetId="5" r:id="rId2"/>
    <sheet name="40x60 FLAT ASCE7-16" sheetId="2" r:id="rId3"/>
    <sheet name="40x60 GABLE ASCE7-16" sheetId="4" r:id="rId4"/>
    <sheet name="40x60 HIP ASCE7-16" sheetId="6" r:id="rId5"/>
    <sheet name="Sheet3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H4" i="4" s="1"/>
  <c r="G21" i="6"/>
  <c r="L21" i="6" s="1"/>
  <c r="H21" i="6"/>
  <c r="M21" i="6" s="1"/>
  <c r="I21" i="6"/>
  <c r="J21" i="6"/>
  <c r="G22" i="6"/>
  <c r="H22" i="6"/>
  <c r="I22" i="6"/>
  <c r="L22" i="6" s="1"/>
  <c r="J22" i="6"/>
  <c r="M22" i="6"/>
  <c r="G23" i="6"/>
  <c r="L23" i="6" s="1"/>
  <c r="H23" i="6"/>
  <c r="M23" i="6" s="1"/>
  <c r="I23" i="6"/>
  <c r="J23" i="6"/>
  <c r="G20" i="6"/>
  <c r="H20" i="6"/>
  <c r="I20" i="6"/>
  <c r="L20" i="6" s="1"/>
  <c r="J20" i="6"/>
  <c r="M20" i="6"/>
  <c r="F9" i="6"/>
  <c r="C42" i="6"/>
  <c r="C41" i="6"/>
  <c r="D25" i="6"/>
  <c r="C25" i="6"/>
  <c r="C28" i="6"/>
  <c r="C27" i="6"/>
  <c r="B45" i="6"/>
  <c r="B7" i="6"/>
  <c r="H4" i="6" s="1"/>
  <c r="L6" i="6"/>
  <c r="J15" i="6" s="1"/>
  <c r="H6" i="6"/>
  <c r="F6" i="6" s="1"/>
  <c r="H5" i="6"/>
  <c r="B30" i="4"/>
  <c r="L6" i="4"/>
  <c r="J22" i="4" s="1"/>
  <c r="H6" i="4"/>
  <c r="F6" i="4" s="1"/>
  <c r="H5" i="4"/>
  <c r="L6" i="2"/>
  <c r="G20" i="2" s="1"/>
  <c r="C15" i="2"/>
  <c r="C12" i="2"/>
  <c r="C13" i="2" s="1"/>
  <c r="H6" i="2"/>
  <c r="F6" i="2" s="1"/>
  <c r="H4" i="2"/>
  <c r="H5" i="2"/>
  <c r="F4" i="6" l="1"/>
  <c r="F8" i="6" s="1"/>
  <c r="C20" i="6" s="1"/>
  <c r="G41" i="6"/>
  <c r="H41" i="6"/>
  <c r="I41" i="6"/>
  <c r="L41" i="6" s="1"/>
  <c r="J41" i="6"/>
  <c r="G42" i="6"/>
  <c r="H42" i="6"/>
  <c r="I42" i="6"/>
  <c r="J42" i="6"/>
  <c r="G16" i="6"/>
  <c r="G37" i="6"/>
  <c r="H16" i="6"/>
  <c r="I16" i="6"/>
  <c r="J37" i="6"/>
  <c r="G13" i="6"/>
  <c r="H13" i="6"/>
  <c r="J14" i="6"/>
  <c r="I13" i="6"/>
  <c r="J13" i="6"/>
  <c r="H38" i="6"/>
  <c r="G15" i="6"/>
  <c r="I38" i="6"/>
  <c r="H37" i="6"/>
  <c r="G14" i="6"/>
  <c r="H14" i="6"/>
  <c r="G38" i="6"/>
  <c r="H15" i="6"/>
  <c r="M15" i="6" s="1"/>
  <c r="J38" i="6"/>
  <c r="I37" i="6"/>
  <c r="J16" i="6"/>
  <c r="I14" i="6"/>
  <c r="I15" i="6"/>
  <c r="H16" i="4"/>
  <c r="J15" i="4"/>
  <c r="H17" i="4"/>
  <c r="J16" i="4"/>
  <c r="G16" i="4"/>
  <c r="L16" i="4" s="1"/>
  <c r="I15" i="4"/>
  <c r="H15" i="4"/>
  <c r="M15" i="4" s="1"/>
  <c r="G17" i="4"/>
  <c r="L17" i="4" s="1"/>
  <c r="J18" i="4"/>
  <c r="G15" i="4"/>
  <c r="L15" i="4" s="1"/>
  <c r="I18" i="4"/>
  <c r="J14" i="4"/>
  <c r="G18" i="4"/>
  <c r="L18" i="4" s="1"/>
  <c r="I14" i="4"/>
  <c r="H18" i="4"/>
  <c r="J17" i="4"/>
  <c r="H14" i="4"/>
  <c r="I16" i="4"/>
  <c r="I17" i="4"/>
  <c r="G14" i="4"/>
  <c r="F4" i="4"/>
  <c r="F8" i="4" s="1"/>
  <c r="H27" i="4"/>
  <c r="I27" i="4"/>
  <c r="J27" i="4"/>
  <c r="G27" i="4"/>
  <c r="H23" i="4"/>
  <c r="G13" i="4"/>
  <c r="I23" i="4"/>
  <c r="H13" i="4"/>
  <c r="M13" i="4" s="1"/>
  <c r="J23" i="4"/>
  <c r="I13" i="4"/>
  <c r="G23" i="4"/>
  <c r="J13" i="4"/>
  <c r="G26" i="4"/>
  <c r="H26" i="4"/>
  <c r="G22" i="4"/>
  <c r="I26" i="4"/>
  <c r="H22" i="4"/>
  <c r="M22" i="4" s="1"/>
  <c r="J26" i="4"/>
  <c r="I22" i="4"/>
  <c r="H21" i="2"/>
  <c r="I21" i="2"/>
  <c r="J21" i="2"/>
  <c r="G15" i="2"/>
  <c r="H25" i="2"/>
  <c r="J15" i="2"/>
  <c r="I15" i="2"/>
  <c r="G21" i="2"/>
  <c r="L21" i="2" s="1"/>
  <c r="J13" i="2"/>
  <c r="G24" i="2"/>
  <c r="L24" i="2" s="1"/>
  <c r="G14" i="2"/>
  <c r="J24" i="2"/>
  <c r="G25" i="2"/>
  <c r="H14" i="2"/>
  <c r="I25" i="2"/>
  <c r="H20" i="2"/>
  <c r="J20" i="2"/>
  <c r="I14" i="2"/>
  <c r="G12" i="2"/>
  <c r="I24" i="2"/>
  <c r="H13" i="2"/>
  <c r="J25" i="2"/>
  <c r="J12" i="2"/>
  <c r="I20" i="2"/>
  <c r="L20" i="2" s="1"/>
  <c r="J14" i="2"/>
  <c r="I13" i="2"/>
  <c r="H24" i="2"/>
  <c r="G13" i="2"/>
  <c r="H12" i="2"/>
  <c r="H15" i="2"/>
  <c r="M15" i="2" s="1"/>
  <c r="I12" i="2"/>
  <c r="C14" i="2"/>
  <c r="C16" i="2" s="1"/>
  <c r="D16" i="2" s="1"/>
  <c r="F4" i="2"/>
  <c r="F8" i="2" s="1"/>
  <c r="C17" i="4" l="1"/>
  <c r="C30" i="4"/>
  <c r="C26" i="4"/>
  <c r="C27" i="4" s="1"/>
  <c r="M38" i="6"/>
  <c r="C30" i="6"/>
  <c r="C29" i="6"/>
  <c r="C31" i="6" s="1"/>
  <c r="C23" i="6" s="1"/>
  <c r="C37" i="6"/>
  <c r="C21" i="6"/>
  <c r="C22" i="6" s="1"/>
  <c r="C14" i="6"/>
  <c r="C38" i="6"/>
  <c r="C13" i="6"/>
  <c r="C45" i="6"/>
  <c r="L15" i="6"/>
  <c r="M41" i="6"/>
  <c r="M42" i="6"/>
  <c r="M13" i="6"/>
  <c r="L13" i="6"/>
  <c r="M16" i="6"/>
  <c r="M14" i="6"/>
  <c r="L37" i="6"/>
  <c r="L42" i="6"/>
  <c r="L16" i="6"/>
  <c r="L38" i="6"/>
  <c r="L14" i="6"/>
  <c r="M37" i="6"/>
  <c r="M18" i="4"/>
  <c r="L13" i="4"/>
  <c r="L14" i="4"/>
  <c r="M23" i="4"/>
  <c r="M17" i="4"/>
  <c r="M14" i="4"/>
  <c r="M16" i="4"/>
  <c r="C16" i="4"/>
  <c r="C15" i="4"/>
  <c r="C14" i="4"/>
  <c r="C13" i="4"/>
  <c r="M27" i="4"/>
  <c r="L13" i="2"/>
  <c r="M12" i="2"/>
  <c r="M20" i="2"/>
  <c r="L27" i="4"/>
  <c r="M26" i="4"/>
  <c r="L26" i="4"/>
  <c r="L23" i="4"/>
  <c r="L22" i="4"/>
  <c r="C22" i="4"/>
  <c r="C23" i="4"/>
  <c r="M14" i="2"/>
  <c r="M21" i="2"/>
  <c r="L25" i="2"/>
  <c r="M24" i="2"/>
  <c r="L14" i="2"/>
  <c r="L15" i="2"/>
  <c r="M13" i="2"/>
  <c r="M25" i="2"/>
  <c r="L12" i="2"/>
  <c r="C20" i="2"/>
  <c r="C21" i="2"/>
  <c r="C24" i="2"/>
  <c r="C25" i="2"/>
  <c r="C24" i="6" l="1"/>
  <c r="C16" i="6"/>
  <c r="C15" i="6" s="1"/>
  <c r="C17" i="6" s="1"/>
  <c r="C18" i="4"/>
  <c r="C19" i="4" s="1"/>
  <c r="D19" i="4" s="1"/>
</calcChain>
</file>

<file path=xl/sharedStrings.xml><?xml version="1.0" encoding="utf-8"?>
<sst xmlns="http://schemas.openxmlformats.org/spreadsheetml/2006/main" count="631" uniqueCount="148">
  <si>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</si>
  <si>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</si>
  <si>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</si>
  <si>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</si>
  <si>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</si>
  <si>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</si>
  <si>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</si>
  <si>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</si>
  <si>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</si>
  <si>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</si>
  <si>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</si>
  <si>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</si>
  <si>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</si>
  <si>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</si>
  <si>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</si>
  <si>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</si>
  <si>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</si>
  <si>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ASCE7-22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</si>
  <si>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</si>
  <si>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</si>
  <si>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</si>
  <si>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</si>
  <si>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</si>
  <si>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</si>
  <si>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</si>
  <si>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</si>
  <si>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</si>
  <si>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</si>
  <si>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</si>
  <si>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</si>
  <si>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</si>
  <si>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</si>
  <si>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</si>
  <si>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</si>
  <si>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</si>
  <si>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</si>
  <si>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</si>
  <si>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</si>
  <si>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</si>
  <si>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</si>
  <si>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</si>
  <si>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</si>
  <si>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</si>
  <si>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</si>
  <si>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</si>
  <si>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</si>
  <si>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</si>
  <si>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</si>
  <si>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</si>
  <si>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</si>
  <si>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</si>
  <si>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</si>
  <si>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</si>
  <si>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</si>
  <si>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</si>
  <si>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</si>
  <si>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</si>
  <si>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</si>
  <si>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</si>
  <si>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</si>
  <si>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</si>
  <si>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</si>
  <si>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</si>
  <si>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</si>
  <si>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</si>
  <si>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</si>
  <si>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</si>
  <si>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</si>
  <si>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</si>
  <si>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</si>
  <si>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</si>
  <si>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</si>
  <si>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</si>
  <si>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</si>
  <si>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</si>
  <si>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</si>
  <si>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</si>
  <si>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</si>
  <si>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</si>
  <si>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</si>
  <si>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</si>
  <si>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</si>
  <si>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</si>
  <si>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</si>
  <si>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</si>
  <si>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</si>
  <si>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</si>
  <si>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</si>
  <si>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</si>
  <si>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</si>
  <si>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</si>
  <si>
    <t>15'</t>
  </si>
  <si>
    <t>30'</t>
  </si>
  <si>
    <t>FLAT VERIFICATION - ASCE 7-16</t>
  </si>
  <si>
    <t>GABLE VERIFICATION - ASCE7-16</t>
  </si>
  <si>
    <t>slope</t>
  </si>
  <si>
    <t>3e</t>
  </si>
  <si>
    <t>3r</t>
  </si>
  <si>
    <t>2n_B</t>
  </si>
  <si>
    <t>2e</t>
  </si>
  <si>
    <t>2r</t>
  </si>
  <si>
    <t>a*a</t>
  </si>
  <si>
    <t>(B/2-2a)*a</t>
  </si>
  <si>
    <t>(L-2a)*a</t>
  </si>
  <si>
    <t>(L * B/2) - 2*A3e-2*A3r-2*A2n-A2e-A2r</t>
  </si>
  <si>
    <t>20'</t>
  </si>
  <si>
    <t>(H+H+a*tan(slope))*a</t>
  </si>
  <si>
    <t>"L" Dimension Wall</t>
  </si>
  <si>
    <t>"B" Dimension Wall</t>
  </si>
  <si>
    <t>"L" Walls</t>
  </si>
  <si>
    <t>"B" Walls</t>
  </si>
  <si>
    <t>Zone 2 areas may be slightly off</t>
  </si>
  <si>
    <t>Zone 3r+</t>
  </si>
  <si>
    <t>Zone 3r-</t>
  </si>
  <si>
    <t>Zone 3e+</t>
  </si>
  <si>
    <t>Zone 3e-</t>
  </si>
  <si>
    <t>&lt;--- EXCEEDS 60 ft forChapter30 Figures</t>
  </si>
  <si>
    <t>2e_B</t>
  </si>
  <si>
    <t>2e_L</t>
  </si>
  <si>
    <t>(B-2a)*a</t>
  </si>
  <si>
    <t>2r_L</t>
  </si>
  <si>
    <t>2r_B</t>
  </si>
  <si>
    <t>1_L</t>
  </si>
  <si>
    <t>0.5*(2L-B)*0.5*B</t>
  </si>
  <si>
    <t>b =</t>
  </si>
  <si>
    <t>1.414*a</t>
  </si>
  <si>
    <t>c =</t>
  </si>
  <si>
    <t>B/2-2a</t>
  </si>
  <si>
    <t>Area L-side Trapezoid</t>
  </si>
  <si>
    <t>0.5*(2L-4b-4a-2c)*c</t>
  </si>
  <si>
    <t>A_trap-A3-A2e-A1</t>
  </si>
  <si>
    <t xml:space="preserve">d = </t>
  </si>
  <si>
    <t>Longside (trapezoid)</t>
  </si>
  <si>
    <t>ShortSide(triangle)</t>
  </si>
  <si>
    <t>B (short side)</t>
  </si>
  <si>
    <t>L (long side)</t>
  </si>
  <si>
    <t>1_B</t>
  </si>
  <si>
    <t>B/2-b-a</t>
  </si>
  <si>
    <t>Area B-side Triangle</t>
  </si>
  <si>
    <t>0.5*B*0.5*B</t>
  </si>
  <si>
    <t>0.5*(B-2a-2b)*d</t>
  </si>
  <si>
    <t>A_tri-A3-A2e-A1</t>
  </si>
  <si>
    <t>SUBTOTAL (2 similar) =</t>
  </si>
  <si>
    <t xml:space="preserve">TOTAL </t>
  </si>
  <si>
    <t xml:space="preserve">h/B = </t>
  </si>
  <si>
    <t>HIP VERIFICATION - ASCE7-16</t>
  </si>
  <si>
    <t>17.5'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</si>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</sst>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  <font>
      <sz val="11"/>
      <color theme="1"/>
      <name val="Aptos Narrow"/>
      <scheme val="minor"/>
    </font>
    <font>
      <b/>
      <sz val="18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  <xf numFmtId="0" fontId="0" fillId="0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4" fillId="0" borderId="0" xfId="0" applyFont="1"/>
    <xf numFmtId="0" fontId="0" fillId="4" borderId="0" xfId="0" applyFill="1"/>
    <xf numFmtId="0" fontId="3" fillId="0" borderId="0" xfId="0" applyFont="1"/>
    <xf numFmtId="0" fontId="0" fillId="0" borderId="3" xfId="0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BL81"/>
  <sheetViews>
    <sheetView topLeftCell="A3" zoomScaleNormal="100" workbookViewId="0">
      <selection activeCell="G24" sqref="G24"/>
    </sheetView>
  </sheetViews>
  <sheetFormatPr defaultRowHeight="14.25"/>
  <cols>
    <col min="3" max="3" width="13" bestFit="1" customWidth="1"/>
    <col min="7" max="7" width="10.875" bestFit="1" customWidth="1"/>
    <col min="58" max="58" width="13.25" bestFit="1" customWidth="1"/>
    <col min="61" max="62" width="9" style="9"/>
  </cols>
  <sheetData>
    <row r="1" spans="1:64" s="2" customFormat="1" ht="23.25">
      <c r="A1" s="2" t="s">
        <v>0</v>
      </c>
      <c r="D1" s="11" t="s">
        <v>9</v>
      </c>
      <c r="BI1" s="8"/>
      <c r="BJ1" s="8"/>
    </row>
    <row r="2" spans="1:64" ht="15">
      <c r="A2" t="s">
        <v>27</v>
      </c>
      <c r="BI2" s="10" t="s">
        <v>111</v>
      </c>
    </row>
    <row r="3" spans="1:64">
      <c r="A3" t="s">
        <v>28</v>
      </c>
    </row>
    <row r="4" spans="1:64">
      <c r="A4" t="s">
        <v>39</v>
      </c>
    </row>
    <row r="5" spans="1:64" ht="15">
      <c r="A5" t="s">
        <v>40</v>
      </c>
      <c r="Y5" s="1"/>
      <c r="Z5" s="1" t="s">
        <v>25</v>
      </c>
      <c r="AA5" s="1"/>
      <c r="AB5" s="1"/>
      <c r="AC5" s="1"/>
      <c r="AD5" s="1"/>
      <c r="AE5" s="1"/>
      <c r="AF5" s="1"/>
      <c r="AG5" s="1"/>
      <c r="BF5" s="1" t="s">
        <v>25</v>
      </c>
    </row>
    <row r="7" spans="1:64" ht="15">
      <c r="K7" s="1"/>
      <c r="L7" s="1"/>
      <c r="X7" s="1"/>
      <c r="Z7" t="s">
        <v>110</v>
      </c>
      <c r="AE7" t="s">
        <v>109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BI7" s="10"/>
      <c r="BJ7" s="10"/>
      <c r="BK7" s="1"/>
      <c r="BL7" s="1"/>
    </row>
    <row r="8" spans="1:64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t="s">
        <v>38</v>
      </c>
      <c r="Z8" t="s">
        <v>36</v>
      </c>
      <c r="AE8" t="s">
        <v>36</v>
      </c>
      <c r="AP8" t="s">
        <v>37</v>
      </c>
      <c r="BG8" t="s">
        <v>33</v>
      </c>
    </row>
    <row r="9" spans="1:64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t="s">
        <v>34</v>
      </c>
      <c r="N9" t="s">
        <v>35</v>
      </c>
      <c r="O9" t="s">
        <v>29</v>
      </c>
      <c r="P9" t="s">
        <v>30</v>
      </c>
      <c r="Q9" t="s">
        <v>31</v>
      </c>
      <c r="R9" t="s">
        <v>32</v>
      </c>
      <c r="S9" t="s">
        <v>114</v>
      </c>
      <c r="T9" t="s">
        <v>115</v>
      </c>
      <c r="U9" t="s">
        <v>112</v>
      </c>
      <c r="V9" t="s">
        <v>113</v>
      </c>
      <c r="Y9" t="s">
        <v>14</v>
      </c>
      <c r="Z9" t="s">
        <v>15</v>
      </c>
      <c r="AA9" t="s">
        <v>12</v>
      </c>
      <c r="AB9" t="s">
        <v>13</v>
      </c>
      <c r="AD9" t="s">
        <v>14</v>
      </c>
      <c r="AE9" t="s">
        <v>15</v>
      </c>
      <c r="AF9" t="s">
        <v>12</v>
      </c>
      <c r="AG9" t="s">
        <v>13</v>
      </c>
      <c r="AM9" t="s">
        <v>5</v>
      </c>
      <c r="AN9" t="s">
        <v>6</v>
      </c>
      <c r="AO9" t="s">
        <v>29</v>
      </c>
      <c r="AP9" t="s">
        <v>30</v>
      </c>
      <c r="AQ9" t="s">
        <v>31</v>
      </c>
      <c r="AR9" t="s">
        <v>32</v>
      </c>
      <c r="AS9" t="s">
        <v>34</v>
      </c>
      <c r="AT9" t="s">
        <v>35</v>
      </c>
      <c r="AU9" t="s">
        <v>47</v>
      </c>
      <c r="AV9" t="s">
        <v>48</v>
      </c>
      <c r="BE9" t="s">
        <v>21</v>
      </c>
      <c r="BF9" t="s">
        <v>22</v>
      </c>
      <c r="BG9" t="s">
        <v>5</v>
      </c>
      <c r="BH9" t="s">
        <v>6</v>
      </c>
      <c r="BI9" s="9" t="s">
        <v>7</v>
      </c>
      <c r="BJ9" s="9" t="s">
        <v>8</v>
      </c>
      <c r="BK9" t="s">
        <v>10</v>
      </c>
      <c r="BL9" t="s">
        <v>11</v>
      </c>
    </row>
    <row r="10" spans="1:64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Y10">
        <v>41.8</v>
      </c>
      <c r="Z10">
        <v>-54.4</v>
      </c>
      <c r="AA10">
        <v>36.799999999999997</v>
      </c>
      <c r="AB10">
        <v>-40.9</v>
      </c>
      <c r="AD10">
        <v>41.8</v>
      </c>
      <c r="AE10">
        <v>36.6</v>
      </c>
      <c r="AF10">
        <v>41.8</v>
      </c>
      <c r="AG10">
        <v>-54.4</v>
      </c>
      <c r="BE10">
        <v>15.9</v>
      </c>
      <c r="BF10">
        <v>-44.9</v>
      </c>
      <c r="BG10">
        <v>15.8</v>
      </c>
      <c r="BH10">
        <v>-49</v>
      </c>
      <c r="BI10" s="9">
        <v>15.8</v>
      </c>
      <c r="BJ10" s="9">
        <v>-65.7</v>
      </c>
      <c r="BK10">
        <v>16.899999999999999</v>
      </c>
      <c r="BL10">
        <v>-113.3</v>
      </c>
    </row>
    <row r="11" spans="1:64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Y11">
        <v>47.3</v>
      </c>
      <c r="Z11">
        <v>-58</v>
      </c>
      <c r="AA11">
        <v>42.3</v>
      </c>
      <c r="AB11">
        <v>-47.1</v>
      </c>
      <c r="AD11">
        <v>47.3</v>
      </c>
      <c r="AE11">
        <v>-58</v>
      </c>
      <c r="AF11">
        <v>42.3</v>
      </c>
      <c r="AG11">
        <v>-47.1</v>
      </c>
      <c r="BE11" t="s">
        <v>42</v>
      </c>
      <c r="BF11" t="s">
        <v>42</v>
      </c>
      <c r="BG11">
        <v>18.399999999999999</v>
      </c>
      <c r="BH11">
        <v>-71.099999999999994</v>
      </c>
      <c r="BI11" s="9">
        <v>18.3</v>
      </c>
      <c r="BJ11" s="9">
        <v>-76</v>
      </c>
      <c r="BK11">
        <v>18.3</v>
      </c>
      <c r="BL11">
        <v>-99.2</v>
      </c>
    </row>
    <row r="12" spans="1:64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Y12">
        <v>50.6</v>
      </c>
      <c r="Z12">
        <v>-59.4</v>
      </c>
      <c r="AA12">
        <v>46.1</v>
      </c>
      <c r="AB12">
        <v>-51.3</v>
      </c>
      <c r="AD12">
        <v>50.6</v>
      </c>
      <c r="AE12">
        <v>-59.4</v>
      </c>
      <c r="AF12">
        <v>46.1</v>
      </c>
      <c r="AG12">
        <v>-51.3</v>
      </c>
      <c r="BE12" t="s">
        <v>42</v>
      </c>
      <c r="BF12" t="s">
        <v>42</v>
      </c>
      <c r="BG12" t="s">
        <v>42</v>
      </c>
      <c r="BH12" t="s">
        <v>42</v>
      </c>
      <c r="BI12" s="9">
        <v>19.899999999999999</v>
      </c>
      <c r="BJ12" s="9">
        <v>-82.8</v>
      </c>
      <c r="BK12">
        <v>19.899999999999999</v>
      </c>
      <c r="BL12">
        <v>-89.7</v>
      </c>
    </row>
    <row r="13" spans="1:64">
      <c r="A13">
        <v>40</v>
      </c>
      <c r="B13">
        <v>60</v>
      </c>
      <c r="C13">
        <v>15</v>
      </c>
      <c r="D13">
        <v>15</v>
      </c>
      <c r="E13" t="s">
        <v>23</v>
      </c>
      <c r="G13">
        <v>20.36</v>
      </c>
      <c r="H13">
        <v>44.3</v>
      </c>
      <c r="I13">
        <v>4</v>
      </c>
      <c r="K13">
        <v>21.3</v>
      </c>
      <c r="L13">
        <v>-30.1</v>
      </c>
      <c r="M13">
        <v>21.3</v>
      </c>
      <c r="N13">
        <v>-30.1</v>
      </c>
      <c r="O13">
        <v>25</v>
      </c>
      <c r="P13">
        <v>-98.3</v>
      </c>
      <c r="Q13">
        <v>21.3</v>
      </c>
      <c r="R13">
        <v>-56</v>
      </c>
      <c r="S13">
        <v>29.3</v>
      </c>
      <c r="T13">
        <v>-129.5</v>
      </c>
      <c r="U13">
        <v>29.3</v>
      </c>
      <c r="V13">
        <v>-152.9</v>
      </c>
      <c r="Y13">
        <v>44.5</v>
      </c>
      <c r="Z13">
        <v>-57.9</v>
      </c>
      <c r="AA13">
        <v>39</v>
      </c>
      <c r="AB13">
        <v>-43.4</v>
      </c>
      <c r="AD13">
        <v>44.6</v>
      </c>
      <c r="AE13">
        <v>-58.1</v>
      </c>
      <c r="AF13">
        <v>39</v>
      </c>
      <c r="AG13">
        <v>-43.4</v>
      </c>
    </row>
    <row r="14" spans="1:64">
      <c r="A14">
        <v>40</v>
      </c>
      <c r="B14">
        <v>60</v>
      </c>
      <c r="C14">
        <v>15</v>
      </c>
      <c r="D14">
        <v>30</v>
      </c>
      <c r="E14" t="s">
        <v>23</v>
      </c>
      <c r="G14">
        <v>26.55</v>
      </c>
      <c r="H14">
        <v>46.9</v>
      </c>
      <c r="I14">
        <v>4</v>
      </c>
      <c r="K14">
        <v>31.9</v>
      </c>
      <c r="L14">
        <v>-45.9</v>
      </c>
      <c r="M14">
        <v>31.9</v>
      </c>
      <c r="N14">
        <v>-45.9</v>
      </c>
      <c r="O14">
        <v>37.200000000000003</v>
      </c>
      <c r="P14">
        <v>-77.400000000000006</v>
      </c>
      <c r="Q14">
        <v>31.9</v>
      </c>
      <c r="R14">
        <v>-45.9</v>
      </c>
      <c r="S14">
        <v>47.8</v>
      </c>
      <c r="T14">
        <v>-117.2</v>
      </c>
      <c r="U14">
        <v>47.8</v>
      </c>
      <c r="V14">
        <v>-95.7</v>
      </c>
      <c r="Y14">
        <v>47.1</v>
      </c>
      <c r="Z14">
        <v>-61</v>
      </c>
      <c r="AA14">
        <v>41.2</v>
      </c>
      <c r="AB14">
        <v>-45.9</v>
      </c>
      <c r="AD14">
        <v>47.2</v>
      </c>
      <c r="AE14">
        <v>-61.4</v>
      </c>
      <c r="AF14">
        <v>41.2</v>
      </c>
      <c r="AG14">
        <v>-45.9</v>
      </c>
    </row>
    <row r="15" spans="1:64">
      <c r="A15">
        <v>40</v>
      </c>
      <c r="B15">
        <v>60</v>
      </c>
      <c r="C15">
        <v>15</v>
      </c>
      <c r="D15">
        <v>45</v>
      </c>
      <c r="E15" t="s">
        <v>23</v>
      </c>
      <c r="G15">
        <v>35</v>
      </c>
      <c r="H15">
        <v>49.7</v>
      </c>
      <c r="I15">
        <v>4</v>
      </c>
      <c r="K15">
        <v>33.799999999999997</v>
      </c>
      <c r="L15">
        <v>-48.7</v>
      </c>
      <c r="M15">
        <v>33.799999999999997</v>
      </c>
      <c r="N15">
        <v>-48.7</v>
      </c>
      <c r="O15">
        <v>39.4</v>
      </c>
      <c r="P15">
        <v>-82</v>
      </c>
      <c r="Q15">
        <v>33.799999999999997</v>
      </c>
      <c r="R15">
        <v>-48.7</v>
      </c>
      <c r="S15">
        <v>50.7</v>
      </c>
      <c r="T15">
        <v>-124.2</v>
      </c>
      <c r="U15">
        <v>50.7</v>
      </c>
      <c r="V15">
        <v>-101.4</v>
      </c>
      <c r="Y15">
        <v>49.8</v>
      </c>
      <c r="Z15">
        <v>-64.3</v>
      </c>
      <c r="AA15">
        <v>43.7</v>
      </c>
      <c r="AB15">
        <v>-48.7</v>
      </c>
      <c r="AD15">
        <v>50</v>
      </c>
      <c r="AE15">
        <v>-65.099999999999994</v>
      </c>
      <c r="AF15">
        <v>43.7</v>
      </c>
      <c r="AG15">
        <v>-48.7</v>
      </c>
    </row>
    <row r="16" spans="1:64">
      <c r="A16">
        <v>40</v>
      </c>
      <c r="B16">
        <v>60</v>
      </c>
      <c r="C16">
        <v>30</v>
      </c>
      <c r="D16">
        <v>15</v>
      </c>
      <c r="E16" t="s">
        <v>23</v>
      </c>
      <c r="G16">
        <v>35.36</v>
      </c>
      <c r="H16">
        <v>49.8</v>
      </c>
      <c r="I16">
        <v>4</v>
      </c>
      <c r="K16">
        <v>23.9</v>
      </c>
      <c r="L16">
        <v>-33.9</v>
      </c>
      <c r="M16">
        <v>23.9</v>
      </c>
      <c r="N16">
        <v>-33.9</v>
      </c>
      <c r="O16">
        <v>28.1</v>
      </c>
      <c r="P16">
        <v>-110.4</v>
      </c>
      <c r="Q16">
        <v>23.9</v>
      </c>
      <c r="R16">
        <v>-62.9</v>
      </c>
      <c r="S16">
        <v>33</v>
      </c>
      <c r="T16">
        <v>-145.5</v>
      </c>
      <c r="U16">
        <v>33</v>
      </c>
      <c r="V16">
        <v>-171.8</v>
      </c>
      <c r="Y16">
        <v>49</v>
      </c>
      <c r="Z16">
        <v>-59.9</v>
      </c>
      <c r="AA16">
        <v>43.8</v>
      </c>
      <c r="AB16">
        <v>-48.8</v>
      </c>
      <c r="AD16">
        <v>49</v>
      </c>
      <c r="AE16">
        <v>-60</v>
      </c>
      <c r="AF16">
        <v>43.8</v>
      </c>
      <c r="AG16">
        <v>-48.8</v>
      </c>
    </row>
    <row r="17" spans="1:33">
      <c r="A17">
        <v>40</v>
      </c>
      <c r="B17">
        <v>60</v>
      </c>
      <c r="C17">
        <v>30</v>
      </c>
      <c r="D17">
        <v>30</v>
      </c>
      <c r="E17" t="s">
        <v>23</v>
      </c>
      <c r="G17">
        <v>41.55</v>
      </c>
      <c r="H17">
        <v>51.5</v>
      </c>
      <c r="I17">
        <v>4</v>
      </c>
      <c r="K17">
        <v>35</v>
      </c>
      <c r="L17">
        <v>-50.5</v>
      </c>
      <c r="M17">
        <v>35</v>
      </c>
      <c r="N17">
        <v>-50.5</v>
      </c>
      <c r="O17">
        <v>40.9</v>
      </c>
      <c r="P17">
        <v>-85</v>
      </c>
      <c r="Q17">
        <v>35</v>
      </c>
      <c r="R17">
        <v>-50.5</v>
      </c>
      <c r="S17">
        <v>52.5</v>
      </c>
      <c r="T17">
        <v>-128.80000000000001</v>
      </c>
      <c r="U17">
        <v>52.5</v>
      </c>
      <c r="V17">
        <v>-105.2</v>
      </c>
      <c r="Y17">
        <v>50.6</v>
      </c>
      <c r="Z17">
        <v>-61.8</v>
      </c>
      <c r="AA17">
        <v>45.3</v>
      </c>
      <c r="AB17">
        <v>-50.5</v>
      </c>
      <c r="AD17">
        <v>50.7</v>
      </c>
      <c r="AE17">
        <v>-62.1</v>
      </c>
      <c r="AF17">
        <v>45.3</v>
      </c>
      <c r="AG17">
        <v>-50.5</v>
      </c>
    </row>
    <row r="18" spans="1:33">
      <c r="A18">
        <v>40</v>
      </c>
      <c r="B18">
        <v>60</v>
      </c>
      <c r="C18">
        <v>30</v>
      </c>
      <c r="D18">
        <v>45</v>
      </c>
      <c r="E18" t="s">
        <v>23</v>
      </c>
      <c r="G18">
        <v>50</v>
      </c>
      <c r="H18">
        <v>53.6</v>
      </c>
      <c r="I18">
        <v>4</v>
      </c>
      <c r="K18">
        <v>36.4</v>
      </c>
      <c r="L18">
        <v>-52.5</v>
      </c>
      <c r="M18">
        <v>36.4</v>
      </c>
      <c r="N18">
        <v>-52.5</v>
      </c>
      <c r="O18">
        <v>42.5</v>
      </c>
      <c r="P18">
        <v>-88.4</v>
      </c>
      <c r="Q18">
        <v>36.4</v>
      </c>
      <c r="R18">
        <v>-52.5</v>
      </c>
      <c r="S18">
        <v>54.6</v>
      </c>
      <c r="T18">
        <v>-133.9</v>
      </c>
      <c r="U18">
        <v>54.6</v>
      </c>
      <c r="V18">
        <v>-109.4</v>
      </c>
      <c r="Y18">
        <v>52.6</v>
      </c>
      <c r="Z18">
        <v>-64.099999999999994</v>
      </c>
      <c r="AA18">
        <v>47.1</v>
      </c>
      <c r="AB18">
        <v>-52.5</v>
      </c>
      <c r="AD18">
        <v>52.7</v>
      </c>
      <c r="AE18">
        <v>-64.599999999999994</v>
      </c>
      <c r="AF18">
        <v>47.1</v>
      </c>
      <c r="AG18">
        <v>-52.5</v>
      </c>
    </row>
    <row r="19" spans="1:33">
      <c r="A19">
        <v>40</v>
      </c>
      <c r="B19">
        <v>60</v>
      </c>
      <c r="C19">
        <v>45</v>
      </c>
      <c r="D19">
        <v>15</v>
      </c>
      <c r="E19" t="s">
        <v>23</v>
      </c>
      <c r="G19">
        <v>50.36</v>
      </c>
      <c r="H19">
        <v>53.6</v>
      </c>
      <c r="I19">
        <v>4</v>
      </c>
      <c r="K19">
        <v>25.7</v>
      </c>
      <c r="L19">
        <v>-36.5</v>
      </c>
      <c r="M19">
        <v>25.7</v>
      </c>
      <c r="N19">
        <v>-36.5</v>
      </c>
      <c r="O19">
        <v>30.3</v>
      </c>
      <c r="P19">
        <v>-119</v>
      </c>
      <c r="Q19">
        <v>25.7</v>
      </c>
      <c r="R19">
        <v>-67.8</v>
      </c>
      <c r="S19">
        <v>35.5</v>
      </c>
      <c r="T19">
        <v>-156.69999999999999</v>
      </c>
      <c r="U19">
        <v>35.5</v>
      </c>
      <c r="V19">
        <v>-185</v>
      </c>
      <c r="Y19">
        <v>51.8</v>
      </c>
      <c r="Z19">
        <v>-60.7</v>
      </c>
      <c r="AA19">
        <v>47.2</v>
      </c>
      <c r="AB19">
        <v>-52.6</v>
      </c>
      <c r="AD19">
        <v>51.8</v>
      </c>
      <c r="AE19">
        <v>-60.8</v>
      </c>
      <c r="AF19">
        <v>47.2</v>
      </c>
      <c r="AG19">
        <v>-52.6</v>
      </c>
    </row>
    <row r="20" spans="1:33">
      <c r="A20">
        <v>40</v>
      </c>
      <c r="B20">
        <v>60</v>
      </c>
      <c r="C20">
        <v>45</v>
      </c>
      <c r="D20">
        <v>30</v>
      </c>
      <c r="E20" t="s">
        <v>23</v>
      </c>
      <c r="G20">
        <v>56.55</v>
      </c>
      <c r="H20">
        <v>55</v>
      </c>
      <c r="I20">
        <v>4</v>
      </c>
      <c r="K20">
        <v>37.4</v>
      </c>
      <c r="L20">
        <v>-53.9</v>
      </c>
      <c r="M20">
        <v>37.4</v>
      </c>
      <c r="N20">
        <v>-53.9</v>
      </c>
      <c r="O20">
        <v>43.6</v>
      </c>
      <c r="P20">
        <v>-90.8</v>
      </c>
      <c r="Q20">
        <v>37.4</v>
      </c>
      <c r="R20">
        <v>-53.9</v>
      </c>
      <c r="S20">
        <v>56.1</v>
      </c>
      <c r="T20">
        <v>-137.4</v>
      </c>
      <c r="U20">
        <v>56.1</v>
      </c>
      <c r="V20">
        <v>-112.2</v>
      </c>
      <c r="Y20">
        <v>53</v>
      </c>
      <c r="Z20">
        <v>-62</v>
      </c>
      <c r="AA20">
        <v>48.4</v>
      </c>
      <c r="AB20">
        <v>-53.9</v>
      </c>
      <c r="AD20">
        <v>53.1</v>
      </c>
      <c r="AE20">
        <v>-62.3</v>
      </c>
      <c r="AF20">
        <v>48.4</v>
      </c>
      <c r="AG20">
        <v>-53.9</v>
      </c>
    </row>
    <row r="21" spans="1:33">
      <c r="A21">
        <v>40</v>
      </c>
      <c r="B21">
        <v>60</v>
      </c>
      <c r="C21">
        <v>45</v>
      </c>
      <c r="D21">
        <v>45</v>
      </c>
      <c r="E21" t="s">
        <v>23</v>
      </c>
      <c r="G21">
        <v>65</v>
      </c>
      <c r="H21" s="6" t="s">
        <v>116</v>
      </c>
    </row>
    <row r="22" spans="1:33">
      <c r="A22">
        <v>40</v>
      </c>
      <c r="B22">
        <v>60</v>
      </c>
      <c r="C22">
        <v>40</v>
      </c>
      <c r="D22">
        <v>45</v>
      </c>
      <c r="E22" t="s">
        <v>23</v>
      </c>
      <c r="G22">
        <v>60</v>
      </c>
      <c r="H22" s="6">
        <v>55.6</v>
      </c>
      <c r="I22">
        <v>4</v>
      </c>
      <c r="K22">
        <v>37.799999999999997</v>
      </c>
      <c r="L22">
        <v>-54.5</v>
      </c>
      <c r="M22">
        <v>37.799999999999997</v>
      </c>
      <c r="N22">
        <v>-54.5</v>
      </c>
      <c r="O22">
        <v>44.1</v>
      </c>
      <c r="P22">
        <v>-91.9</v>
      </c>
      <c r="Q22">
        <v>37.799999999999997</v>
      </c>
      <c r="R22">
        <v>-54.5</v>
      </c>
      <c r="S22">
        <v>56.8</v>
      </c>
      <c r="T22">
        <v>-139.1</v>
      </c>
      <c r="U22">
        <v>56.8</v>
      </c>
      <c r="V22">
        <v>-113.6</v>
      </c>
    </row>
    <row r="23" spans="1:33">
      <c r="A23">
        <v>40</v>
      </c>
      <c r="B23">
        <v>60</v>
      </c>
      <c r="C23">
        <v>15</v>
      </c>
      <c r="D23">
        <v>15</v>
      </c>
      <c r="E23" t="s">
        <v>24</v>
      </c>
      <c r="G23">
        <v>20.36</v>
      </c>
    </row>
    <row r="24" spans="1:33">
      <c r="A24">
        <v>40</v>
      </c>
      <c r="B24">
        <v>60</v>
      </c>
      <c r="C24">
        <v>15</v>
      </c>
      <c r="D24">
        <v>30</v>
      </c>
      <c r="E24" t="s">
        <v>24</v>
      </c>
    </row>
    <row r="25" spans="1:33">
      <c r="A25">
        <v>40</v>
      </c>
      <c r="B25">
        <v>60</v>
      </c>
      <c r="C25">
        <v>15</v>
      </c>
      <c r="D25">
        <v>45</v>
      </c>
      <c r="E25" t="s">
        <v>24</v>
      </c>
    </row>
    <row r="26" spans="1:33">
      <c r="A26">
        <v>40</v>
      </c>
      <c r="B26">
        <v>60</v>
      </c>
      <c r="C26">
        <v>30</v>
      </c>
      <c r="D26">
        <v>15</v>
      </c>
      <c r="E26" t="s">
        <v>24</v>
      </c>
    </row>
    <row r="27" spans="1:33">
      <c r="A27">
        <v>40</v>
      </c>
      <c r="B27">
        <v>60</v>
      </c>
      <c r="C27">
        <v>30</v>
      </c>
      <c r="D27">
        <v>30</v>
      </c>
      <c r="E27" t="s">
        <v>24</v>
      </c>
    </row>
    <row r="28" spans="1:33">
      <c r="A28">
        <v>40</v>
      </c>
      <c r="B28">
        <v>60</v>
      </c>
      <c r="C28">
        <v>30</v>
      </c>
      <c r="D28">
        <v>45</v>
      </c>
      <c r="E28" t="s">
        <v>24</v>
      </c>
    </row>
    <row r="29" spans="1:33">
      <c r="A29">
        <v>40</v>
      </c>
      <c r="B29">
        <v>60</v>
      </c>
      <c r="C29">
        <v>45</v>
      </c>
      <c r="D29">
        <v>15</v>
      </c>
      <c r="E29" t="s">
        <v>24</v>
      </c>
    </row>
    <row r="30" spans="1:33">
      <c r="A30">
        <v>40</v>
      </c>
      <c r="B30">
        <v>60</v>
      </c>
      <c r="C30">
        <v>45</v>
      </c>
      <c r="D30">
        <v>30</v>
      </c>
      <c r="E30" t="s">
        <v>24</v>
      </c>
    </row>
    <row r="31" spans="1:33">
      <c r="A31">
        <v>40</v>
      </c>
      <c r="B31">
        <v>60</v>
      </c>
      <c r="C31">
        <v>45</v>
      </c>
      <c r="D31">
        <v>45</v>
      </c>
      <c r="E31" t="s">
        <v>24</v>
      </c>
    </row>
    <row r="34" spans="1:64">
      <c r="A34" t="s">
        <v>2</v>
      </c>
      <c r="B34" t="s">
        <v>3</v>
      </c>
      <c r="C34" t="s">
        <v>44</v>
      </c>
      <c r="D34" t="s">
        <v>4</v>
      </c>
      <c r="E34" t="s">
        <v>16</v>
      </c>
      <c r="G34" t="s">
        <v>45</v>
      </c>
      <c r="H34" t="s">
        <v>26</v>
      </c>
      <c r="I34" t="s">
        <v>19</v>
      </c>
      <c r="M34" t="s">
        <v>38</v>
      </c>
      <c r="Z34" t="s">
        <v>36</v>
      </c>
      <c r="AE34" t="s">
        <v>36</v>
      </c>
      <c r="AP34" t="s">
        <v>37</v>
      </c>
      <c r="BG34" t="s">
        <v>33</v>
      </c>
    </row>
    <row r="35" spans="1:64">
      <c r="A35" t="s">
        <v>1</v>
      </c>
      <c r="B35" t="s">
        <v>1</v>
      </c>
      <c r="C35" t="s">
        <v>1</v>
      </c>
      <c r="D35" t="s">
        <v>43</v>
      </c>
      <c r="G35" t="s">
        <v>46</v>
      </c>
      <c r="H35" t="s">
        <v>41</v>
      </c>
      <c r="I35" t="s">
        <v>18</v>
      </c>
      <c r="K35" t="s">
        <v>5</v>
      </c>
      <c r="L35" t="s">
        <v>6</v>
      </c>
      <c r="M35" t="s">
        <v>34</v>
      </c>
      <c r="N35" t="s">
        <v>35</v>
      </c>
      <c r="O35" t="s">
        <v>29</v>
      </c>
      <c r="P35" t="s">
        <v>30</v>
      </c>
      <c r="Q35" t="s">
        <v>31</v>
      </c>
      <c r="R35" t="s">
        <v>32</v>
      </c>
      <c r="S35" t="s">
        <v>114</v>
      </c>
      <c r="T35" t="s">
        <v>115</v>
      </c>
      <c r="U35" t="s">
        <v>112</v>
      </c>
      <c r="V35" t="s">
        <v>113</v>
      </c>
      <c r="Y35" t="s">
        <v>14</v>
      </c>
      <c r="Z35" t="s">
        <v>15</v>
      </c>
      <c r="AA35" t="s">
        <v>12</v>
      </c>
      <c r="AB35" t="s">
        <v>13</v>
      </c>
      <c r="AD35" t="s">
        <v>14</v>
      </c>
      <c r="AE35" t="s">
        <v>15</v>
      </c>
      <c r="AF35" t="s">
        <v>12</v>
      </c>
      <c r="AG35" t="s">
        <v>13</v>
      </c>
      <c r="AM35" t="s">
        <v>5</v>
      </c>
      <c r="AN35" t="s">
        <v>6</v>
      </c>
      <c r="AO35" t="s">
        <v>29</v>
      </c>
      <c r="AP35" t="s">
        <v>30</v>
      </c>
      <c r="AQ35" t="s">
        <v>31</v>
      </c>
      <c r="AR35" t="s">
        <v>32</v>
      </c>
      <c r="AS35" t="s">
        <v>34</v>
      </c>
      <c r="AT35" t="s">
        <v>35</v>
      </c>
      <c r="AU35" t="s">
        <v>47</v>
      </c>
      <c r="AV35" t="s">
        <v>48</v>
      </c>
      <c r="BE35" t="s">
        <v>21</v>
      </c>
      <c r="BF35" t="s">
        <v>22</v>
      </c>
      <c r="BG35" t="s">
        <v>5</v>
      </c>
      <c r="BH35" t="s">
        <v>6</v>
      </c>
      <c r="BI35" s="9" t="s">
        <v>7</v>
      </c>
      <c r="BJ35" s="9" t="s">
        <v>8</v>
      </c>
      <c r="BK35" t="s">
        <v>10</v>
      </c>
      <c r="BL35" t="s">
        <v>11</v>
      </c>
    </row>
    <row r="36" spans="1:64">
      <c r="A36">
        <v>50</v>
      </c>
      <c r="B36">
        <v>70</v>
      </c>
      <c r="C36">
        <v>15</v>
      </c>
      <c r="D36">
        <v>0</v>
      </c>
      <c r="E36" t="s">
        <v>20</v>
      </c>
      <c r="G36">
        <v>15</v>
      </c>
      <c r="H36">
        <v>41.6</v>
      </c>
      <c r="Y36">
        <v>41.6</v>
      </c>
      <c r="Z36">
        <v>-53.2</v>
      </c>
      <c r="AA36">
        <v>36.6</v>
      </c>
      <c r="AB36">
        <v>-40.700000000000003</v>
      </c>
      <c r="AD36">
        <v>41.6</v>
      </c>
      <c r="AE36">
        <v>-53.2</v>
      </c>
      <c r="AF36">
        <v>36.6</v>
      </c>
      <c r="AG36">
        <v>-40.700000000000003</v>
      </c>
      <c r="BE36">
        <v>15.8</v>
      </c>
      <c r="BF36">
        <v>-25.3</v>
      </c>
      <c r="BG36">
        <v>15.8</v>
      </c>
      <c r="BH36">
        <v>-49</v>
      </c>
      <c r="BI36" s="9">
        <v>15.8</v>
      </c>
      <c r="BJ36" s="9">
        <v>-65.7</v>
      </c>
      <c r="BK36">
        <v>16.899999999999999</v>
      </c>
      <c r="BL36">
        <v>-113.3</v>
      </c>
    </row>
    <row r="37" spans="1:64">
      <c r="A37">
        <v>50</v>
      </c>
      <c r="B37">
        <v>70</v>
      </c>
      <c r="C37">
        <v>30</v>
      </c>
      <c r="D37">
        <v>0</v>
      </c>
      <c r="E37" t="s">
        <v>20</v>
      </c>
      <c r="G37">
        <v>30</v>
      </c>
      <c r="H37">
        <v>48.1</v>
      </c>
      <c r="Y37">
        <v>46.9</v>
      </c>
      <c r="Z37">
        <v>-56.3</v>
      </c>
      <c r="AA37">
        <v>42.3</v>
      </c>
      <c r="AB37">
        <v>-47.1</v>
      </c>
      <c r="AD37">
        <v>46.9</v>
      </c>
      <c r="AE37">
        <v>-56.3</v>
      </c>
      <c r="AF37">
        <v>42.3</v>
      </c>
      <c r="AG37">
        <v>-47.1</v>
      </c>
      <c r="BE37" t="s">
        <v>42</v>
      </c>
      <c r="BF37" t="s">
        <v>42</v>
      </c>
      <c r="BG37">
        <v>18.3</v>
      </c>
      <c r="BH37">
        <v>-57.4</v>
      </c>
      <c r="BI37" s="9">
        <v>18.3</v>
      </c>
      <c r="BJ37" s="9">
        <v>-76</v>
      </c>
      <c r="BK37">
        <v>18.3</v>
      </c>
      <c r="BL37">
        <v>-99.2</v>
      </c>
    </row>
    <row r="38" spans="1:64">
      <c r="A38">
        <v>50</v>
      </c>
      <c r="B38">
        <v>70</v>
      </c>
      <c r="C38">
        <v>45</v>
      </c>
      <c r="D38">
        <v>0</v>
      </c>
      <c r="E38" t="s">
        <v>20</v>
      </c>
      <c r="G38">
        <v>45</v>
      </c>
      <c r="H38">
        <v>52.4</v>
      </c>
      <c r="Y38">
        <v>49.9</v>
      </c>
      <c r="Z38">
        <v>-57.6</v>
      </c>
      <c r="AA38">
        <v>46.1</v>
      </c>
      <c r="AB38">
        <v>-51.3</v>
      </c>
      <c r="AD38">
        <v>49.9</v>
      </c>
      <c r="AE38">
        <v>-57.6</v>
      </c>
      <c r="AF38">
        <v>46.1</v>
      </c>
      <c r="AG38">
        <v>-51.3</v>
      </c>
      <c r="BE38" t="s">
        <v>42</v>
      </c>
      <c r="BF38" t="s">
        <v>42</v>
      </c>
      <c r="BG38" t="s">
        <v>42</v>
      </c>
      <c r="BH38" t="s">
        <v>42</v>
      </c>
      <c r="BI38" s="9">
        <v>19.899999999999999</v>
      </c>
      <c r="BJ38" s="9">
        <v>-82.8</v>
      </c>
      <c r="BK38">
        <v>19.899999999999999</v>
      </c>
      <c r="BL38">
        <v>-89.7</v>
      </c>
    </row>
    <row r="39" spans="1:64">
      <c r="A39">
        <v>50</v>
      </c>
      <c r="B39">
        <v>70</v>
      </c>
      <c r="C39">
        <v>15</v>
      </c>
      <c r="D39">
        <v>15</v>
      </c>
      <c r="E39" t="s">
        <v>23</v>
      </c>
      <c r="G39">
        <v>21.7</v>
      </c>
      <c r="H39">
        <v>44.9</v>
      </c>
      <c r="I39">
        <v>5</v>
      </c>
      <c r="K39">
        <v>21.6</v>
      </c>
      <c r="L39">
        <v>-30.5</v>
      </c>
      <c r="M39">
        <v>21.6</v>
      </c>
      <c r="N39">
        <v>-30.5</v>
      </c>
      <c r="O39">
        <v>23.4</v>
      </c>
      <c r="P39">
        <v>-88.9</v>
      </c>
      <c r="Q39">
        <v>21.6</v>
      </c>
      <c r="R39">
        <v>-53</v>
      </c>
      <c r="S39">
        <v>27.8</v>
      </c>
      <c r="T39">
        <v>-119.3</v>
      </c>
      <c r="U39">
        <v>27.8</v>
      </c>
      <c r="V39">
        <v>-139.80000000000001</v>
      </c>
      <c r="Y39">
        <v>44.9</v>
      </c>
      <c r="Z39">
        <v>57.2</v>
      </c>
      <c r="AA39">
        <v>39.5</v>
      </c>
      <c r="AB39">
        <v>-44</v>
      </c>
      <c r="AD39">
        <v>44.9</v>
      </c>
      <c r="AE39">
        <v>-57.2</v>
      </c>
      <c r="AF39">
        <v>39.5</v>
      </c>
      <c r="AG39">
        <v>-44</v>
      </c>
    </row>
    <row r="40" spans="1:64">
      <c r="A40">
        <v>50</v>
      </c>
      <c r="B40">
        <v>70</v>
      </c>
      <c r="C40">
        <v>15</v>
      </c>
      <c r="D40">
        <v>30</v>
      </c>
      <c r="E40" t="s">
        <v>23</v>
      </c>
      <c r="G40">
        <v>29.43</v>
      </c>
      <c r="H40">
        <v>47.9</v>
      </c>
      <c r="I40">
        <v>5</v>
      </c>
      <c r="K40">
        <v>32.6</v>
      </c>
      <c r="L40">
        <v>-46.9</v>
      </c>
      <c r="M40">
        <v>32.6</v>
      </c>
      <c r="N40">
        <v>-46.9</v>
      </c>
      <c r="O40">
        <v>35</v>
      </c>
      <c r="P40">
        <v>-72.8</v>
      </c>
      <c r="Q40">
        <v>32.6</v>
      </c>
      <c r="R40">
        <v>-46.9</v>
      </c>
      <c r="S40">
        <v>45.3</v>
      </c>
      <c r="T40">
        <v>-110.8</v>
      </c>
      <c r="U40">
        <v>45.3</v>
      </c>
      <c r="V40">
        <v>-90.8</v>
      </c>
      <c r="Y40">
        <v>47.8</v>
      </c>
      <c r="Z40">
        <v>-60.6</v>
      </c>
      <c r="AA40">
        <v>42.2</v>
      </c>
      <c r="AB40">
        <v>-46.9</v>
      </c>
      <c r="AD40">
        <v>47.9</v>
      </c>
      <c r="AE40">
        <v>-61.3</v>
      </c>
      <c r="AF40">
        <v>42.2</v>
      </c>
      <c r="AG40">
        <v>-46.9</v>
      </c>
    </row>
    <row r="41" spans="1:64">
      <c r="A41">
        <v>50</v>
      </c>
      <c r="B41">
        <v>70</v>
      </c>
      <c r="C41">
        <v>15</v>
      </c>
      <c r="D41">
        <v>45</v>
      </c>
      <c r="E41" t="s">
        <v>23</v>
      </c>
      <c r="G41">
        <v>40</v>
      </c>
      <c r="H41">
        <v>51.1</v>
      </c>
      <c r="I41">
        <v>5</v>
      </c>
      <c r="K41">
        <v>34.700000000000003</v>
      </c>
      <c r="L41">
        <v>-50.1</v>
      </c>
      <c r="M41">
        <v>34.700000000000003</v>
      </c>
      <c r="N41">
        <v>-50.1</v>
      </c>
      <c r="O41">
        <v>37.299999999999997</v>
      </c>
      <c r="P41">
        <v>-77.7</v>
      </c>
      <c r="Q41">
        <v>34.700000000000003</v>
      </c>
      <c r="R41">
        <v>-50.1</v>
      </c>
      <c r="S41">
        <v>48.4</v>
      </c>
      <c r="T41">
        <v>-118.2</v>
      </c>
      <c r="U41">
        <v>48.4</v>
      </c>
      <c r="V41">
        <v>-96.9</v>
      </c>
      <c r="Y41">
        <v>50.8</v>
      </c>
      <c r="Z41">
        <v>-64.099999999999994</v>
      </c>
      <c r="AA41">
        <v>45</v>
      </c>
      <c r="AB41">
        <v>-50.1</v>
      </c>
      <c r="AD41">
        <v>51.1</v>
      </c>
      <c r="AE41">
        <v>-65.400000000000006</v>
      </c>
      <c r="AF41">
        <v>45</v>
      </c>
      <c r="AG41">
        <v>-50.1</v>
      </c>
    </row>
    <row r="42" spans="1:64">
      <c r="A42">
        <v>50</v>
      </c>
      <c r="B42">
        <v>70</v>
      </c>
      <c r="C42">
        <v>30</v>
      </c>
      <c r="D42">
        <v>15</v>
      </c>
      <c r="E42" t="s">
        <v>23</v>
      </c>
      <c r="G42">
        <v>36.700000000000003</v>
      </c>
      <c r="H42">
        <v>50.2</v>
      </c>
      <c r="I42">
        <v>5</v>
      </c>
      <c r="K42">
        <v>24.1</v>
      </c>
      <c r="L42">
        <v>-34.1</v>
      </c>
      <c r="M42">
        <v>24.1</v>
      </c>
      <c r="N42">
        <v>-34.1</v>
      </c>
      <c r="O42">
        <v>26.1</v>
      </c>
      <c r="P42">
        <v>-99.3</v>
      </c>
      <c r="Q42">
        <v>24.1</v>
      </c>
      <c r="R42">
        <v>-59.2</v>
      </c>
      <c r="S42">
        <v>31</v>
      </c>
      <c r="T42">
        <v>-133.19999999999999</v>
      </c>
      <c r="U42">
        <v>31</v>
      </c>
      <c r="V42">
        <v>-156.1</v>
      </c>
      <c r="Y42">
        <v>48.9</v>
      </c>
      <c r="Z42">
        <v>-58.5</v>
      </c>
      <c r="AA42">
        <v>44.2</v>
      </c>
      <c r="AB42">
        <v>-49.2</v>
      </c>
      <c r="AD42">
        <v>48.9</v>
      </c>
      <c r="AE42">
        <v>-58.7</v>
      </c>
      <c r="AF42">
        <v>44.2</v>
      </c>
      <c r="AG42">
        <v>-49.2</v>
      </c>
    </row>
    <row r="43" spans="1:64">
      <c r="A43">
        <v>50</v>
      </c>
      <c r="B43">
        <v>70</v>
      </c>
      <c r="C43">
        <v>30</v>
      </c>
      <c r="D43">
        <v>30</v>
      </c>
      <c r="E43" t="s">
        <v>23</v>
      </c>
      <c r="G43">
        <v>44.43</v>
      </c>
      <c r="H43">
        <v>52.2</v>
      </c>
      <c r="I43">
        <v>5</v>
      </c>
      <c r="K43">
        <v>35.5</v>
      </c>
      <c r="L43">
        <v>-51.2</v>
      </c>
      <c r="M43">
        <v>35.5</v>
      </c>
      <c r="N43">
        <v>-51.2</v>
      </c>
      <c r="O43">
        <v>38.1</v>
      </c>
      <c r="P43">
        <v>-79.400000000000006</v>
      </c>
      <c r="Q43">
        <v>35.5</v>
      </c>
      <c r="R43">
        <v>-51.2</v>
      </c>
      <c r="S43">
        <v>49.5</v>
      </c>
      <c r="T43">
        <v>-120.8</v>
      </c>
      <c r="U43">
        <v>49.5</v>
      </c>
      <c r="V43">
        <v>-99.1</v>
      </c>
      <c r="Y43">
        <v>50.8</v>
      </c>
      <c r="Z43">
        <v>-60.7</v>
      </c>
      <c r="AA43">
        <v>46</v>
      </c>
      <c r="AB43">
        <v>-51.2</v>
      </c>
      <c r="AD43">
        <v>50.9</v>
      </c>
      <c r="AE43">
        <v>-61.1</v>
      </c>
      <c r="AF43">
        <v>46</v>
      </c>
      <c r="AG43">
        <v>-51.2</v>
      </c>
    </row>
    <row r="44" spans="1:64">
      <c r="A44">
        <v>50</v>
      </c>
      <c r="B44">
        <v>70</v>
      </c>
      <c r="C44">
        <v>30</v>
      </c>
      <c r="D44">
        <v>45</v>
      </c>
      <c r="E44" t="s">
        <v>23</v>
      </c>
      <c r="G44">
        <v>55</v>
      </c>
      <c r="H44">
        <v>54.6</v>
      </c>
      <c r="I44">
        <v>5</v>
      </c>
      <c r="K44">
        <v>37.200000000000003</v>
      </c>
      <c r="L44">
        <v>-53.5</v>
      </c>
      <c r="M44">
        <v>37.200000000000003</v>
      </c>
      <c r="N44">
        <v>-53.5</v>
      </c>
      <c r="O44">
        <v>39.9</v>
      </c>
      <c r="P44">
        <v>-83</v>
      </c>
      <c r="Q44">
        <v>37.200000000000003</v>
      </c>
      <c r="R44">
        <v>-53.5</v>
      </c>
      <c r="S44">
        <v>51.7</v>
      </c>
      <c r="T44">
        <v>-126.4</v>
      </c>
      <c r="U44">
        <v>51.7</v>
      </c>
      <c r="V44">
        <v>-103.6</v>
      </c>
      <c r="Y44">
        <v>53.1</v>
      </c>
      <c r="Z44">
        <v>-63.1</v>
      </c>
      <c r="AA44">
        <v>48.1</v>
      </c>
      <c r="AB44">
        <v>-53.5</v>
      </c>
      <c r="AD44">
        <v>53.3</v>
      </c>
      <c r="AE44">
        <v>-63.9</v>
      </c>
      <c r="AF44">
        <v>48.1</v>
      </c>
      <c r="AG44">
        <v>-53.5</v>
      </c>
    </row>
    <row r="45" spans="1:64">
      <c r="A45">
        <v>50</v>
      </c>
      <c r="B45">
        <v>70</v>
      </c>
      <c r="C45">
        <v>45</v>
      </c>
      <c r="D45">
        <v>15</v>
      </c>
      <c r="E45" t="s">
        <v>23</v>
      </c>
      <c r="G45">
        <v>51.7</v>
      </c>
      <c r="H45">
        <v>53.9</v>
      </c>
      <c r="I45">
        <v>5</v>
      </c>
      <c r="K45">
        <v>25.9</v>
      </c>
      <c r="L45">
        <v>-36.700000000000003</v>
      </c>
      <c r="M45">
        <v>25.9</v>
      </c>
      <c r="N45">
        <v>-36.700000000000003</v>
      </c>
      <c r="O45">
        <v>28</v>
      </c>
      <c r="P45">
        <v>-106.8</v>
      </c>
      <c r="Q45">
        <v>25.9</v>
      </c>
      <c r="R45">
        <v>-63.6</v>
      </c>
      <c r="S45">
        <v>33.299999999999997</v>
      </c>
      <c r="T45">
        <v>143.19999999999999</v>
      </c>
      <c r="U45">
        <v>33.299999999999997</v>
      </c>
      <c r="V45">
        <v>-167.8</v>
      </c>
      <c r="Y45">
        <v>51.4</v>
      </c>
      <c r="Z45">
        <v>-59.2</v>
      </c>
      <c r="AA45">
        <v>47.5</v>
      </c>
      <c r="AB45">
        <v>-52.9</v>
      </c>
      <c r="AD45">
        <v>51.4</v>
      </c>
      <c r="AE45">
        <v>-59.3</v>
      </c>
      <c r="AF45">
        <v>47.5</v>
      </c>
      <c r="AG45">
        <v>-52.9</v>
      </c>
    </row>
    <row r="46" spans="1:64">
      <c r="A46">
        <v>50</v>
      </c>
      <c r="B46">
        <v>70</v>
      </c>
      <c r="C46">
        <v>45</v>
      </c>
      <c r="D46">
        <v>30</v>
      </c>
      <c r="E46" t="s">
        <v>23</v>
      </c>
      <c r="G46">
        <v>59.43</v>
      </c>
      <c r="H46">
        <v>55.5</v>
      </c>
      <c r="I46">
        <v>5</v>
      </c>
      <c r="K46">
        <v>37.799999999999997</v>
      </c>
      <c r="L46">
        <v>-54.4</v>
      </c>
      <c r="M46">
        <v>37.799999999999997</v>
      </c>
      <c r="N46">
        <v>-54.4</v>
      </c>
      <c r="O46">
        <v>40.5</v>
      </c>
      <c r="P46">
        <v>-84.4</v>
      </c>
      <c r="Q46">
        <v>37.799999999999997</v>
      </c>
      <c r="R46">
        <v>-54.4</v>
      </c>
      <c r="S46">
        <v>52.6</v>
      </c>
      <c r="T46">
        <v>-128.5</v>
      </c>
      <c r="U46">
        <v>52.6</v>
      </c>
      <c r="V46">
        <v>-105.3</v>
      </c>
      <c r="Y46">
        <v>52.8</v>
      </c>
      <c r="Z46">
        <v>-60.9</v>
      </c>
      <c r="AA46">
        <v>48.9</v>
      </c>
      <c r="AB46">
        <v>-54.4</v>
      </c>
      <c r="AD46">
        <v>52.9</v>
      </c>
      <c r="AE46">
        <v>-61</v>
      </c>
      <c r="AF46">
        <v>48.9</v>
      </c>
      <c r="AG46">
        <v>-54.4</v>
      </c>
    </row>
    <row r="47" spans="1:64">
      <c r="A47">
        <v>50</v>
      </c>
      <c r="B47">
        <v>70</v>
      </c>
      <c r="C47">
        <v>45</v>
      </c>
      <c r="D47">
        <v>45</v>
      </c>
      <c r="E47" t="s">
        <v>23</v>
      </c>
      <c r="G47">
        <v>70</v>
      </c>
      <c r="H47" s="6" t="s">
        <v>116</v>
      </c>
    </row>
    <row r="48" spans="1:64">
      <c r="A48">
        <v>50</v>
      </c>
      <c r="B48">
        <v>70</v>
      </c>
      <c r="C48">
        <v>15</v>
      </c>
      <c r="D48">
        <v>15</v>
      </c>
      <c r="E48" t="s">
        <v>24</v>
      </c>
    </row>
    <row r="49" spans="1:64">
      <c r="A49">
        <v>50</v>
      </c>
      <c r="B49">
        <v>70</v>
      </c>
      <c r="C49">
        <v>15</v>
      </c>
      <c r="D49">
        <v>30</v>
      </c>
      <c r="E49" t="s">
        <v>24</v>
      </c>
    </row>
    <row r="50" spans="1:64">
      <c r="A50">
        <v>50</v>
      </c>
      <c r="B50">
        <v>70</v>
      </c>
      <c r="C50">
        <v>15</v>
      </c>
      <c r="D50">
        <v>45</v>
      </c>
      <c r="E50" t="s">
        <v>24</v>
      </c>
    </row>
    <row r="51" spans="1:64">
      <c r="A51">
        <v>50</v>
      </c>
      <c r="B51">
        <v>70</v>
      </c>
      <c r="C51">
        <v>30</v>
      </c>
      <c r="D51">
        <v>15</v>
      </c>
      <c r="E51" t="s">
        <v>24</v>
      </c>
    </row>
    <row r="52" spans="1:64">
      <c r="A52">
        <v>50</v>
      </c>
      <c r="B52">
        <v>70</v>
      </c>
      <c r="C52">
        <v>30</v>
      </c>
      <c r="D52">
        <v>30</v>
      </c>
      <c r="E52" t="s">
        <v>24</v>
      </c>
    </row>
    <row r="53" spans="1:64">
      <c r="A53">
        <v>50</v>
      </c>
      <c r="B53">
        <v>70</v>
      </c>
      <c r="C53">
        <v>30</v>
      </c>
      <c r="D53">
        <v>45</v>
      </c>
      <c r="E53" t="s">
        <v>24</v>
      </c>
    </row>
    <row r="54" spans="1:64">
      <c r="A54">
        <v>50</v>
      </c>
      <c r="B54">
        <v>70</v>
      </c>
      <c r="C54">
        <v>45</v>
      </c>
      <c r="D54">
        <v>15</v>
      </c>
      <c r="E54" t="s">
        <v>24</v>
      </c>
    </row>
    <row r="55" spans="1:64">
      <c r="A55">
        <v>50</v>
      </c>
      <c r="B55">
        <v>70</v>
      </c>
      <c r="C55">
        <v>45</v>
      </c>
      <c r="D55">
        <v>30</v>
      </c>
      <c r="E55" t="s">
        <v>24</v>
      </c>
    </row>
    <row r="56" spans="1:64">
      <c r="A56">
        <v>50</v>
      </c>
      <c r="B56">
        <v>70</v>
      </c>
      <c r="C56">
        <v>45</v>
      </c>
      <c r="D56">
        <v>45</v>
      </c>
      <c r="E56" t="s">
        <v>24</v>
      </c>
    </row>
    <row r="59" spans="1:64">
      <c r="A59" t="s">
        <v>2</v>
      </c>
      <c r="B59" t="s">
        <v>3</v>
      </c>
      <c r="C59" t="s">
        <v>44</v>
      </c>
      <c r="D59" t="s">
        <v>4</v>
      </c>
      <c r="E59" t="s">
        <v>16</v>
      </c>
      <c r="G59" t="s">
        <v>45</v>
      </c>
      <c r="H59" t="s">
        <v>26</v>
      </c>
      <c r="I59" t="s">
        <v>19</v>
      </c>
      <c r="M59" t="s">
        <v>38</v>
      </c>
      <c r="Z59" t="s">
        <v>36</v>
      </c>
      <c r="AE59" t="s">
        <v>36</v>
      </c>
      <c r="AP59" t="s">
        <v>37</v>
      </c>
      <c r="BG59" t="s">
        <v>33</v>
      </c>
    </row>
    <row r="60" spans="1:64">
      <c r="A60" t="s">
        <v>1</v>
      </c>
      <c r="B60" t="s">
        <v>1</v>
      </c>
      <c r="C60" t="s">
        <v>1</v>
      </c>
      <c r="D60" t="s">
        <v>43</v>
      </c>
      <c r="G60" t="s">
        <v>46</v>
      </c>
      <c r="H60" t="s">
        <v>41</v>
      </c>
      <c r="I60" t="s">
        <v>18</v>
      </c>
      <c r="K60" t="s">
        <v>5</v>
      </c>
      <c r="L60" t="s">
        <v>6</v>
      </c>
      <c r="M60" t="s">
        <v>34</v>
      </c>
      <c r="N60" t="s">
        <v>35</v>
      </c>
      <c r="O60" t="s">
        <v>29</v>
      </c>
      <c r="P60" t="s">
        <v>30</v>
      </c>
      <c r="Q60" t="s">
        <v>31</v>
      </c>
      <c r="R60" t="s">
        <v>32</v>
      </c>
      <c r="S60" t="s">
        <v>114</v>
      </c>
      <c r="T60" t="s">
        <v>115</v>
      </c>
      <c r="U60" t="s">
        <v>112</v>
      </c>
      <c r="V60" t="s">
        <v>113</v>
      </c>
      <c r="Y60" t="s">
        <v>14</v>
      </c>
      <c r="Z60" t="s">
        <v>15</v>
      </c>
      <c r="AA60" t="s">
        <v>12</v>
      </c>
      <c r="AB60" t="s">
        <v>13</v>
      </c>
      <c r="AD60" t="s">
        <v>14</v>
      </c>
      <c r="AE60" t="s">
        <v>15</v>
      </c>
      <c r="AF60" t="s">
        <v>12</v>
      </c>
      <c r="AG60" t="s">
        <v>13</v>
      </c>
      <c r="AM60" t="s">
        <v>5</v>
      </c>
      <c r="AN60" t="s">
        <v>6</v>
      </c>
      <c r="AO60" t="s">
        <v>29</v>
      </c>
      <c r="AP60" t="s">
        <v>30</v>
      </c>
      <c r="AQ60" t="s">
        <v>31</v>
      </c>
      <c r="AR60" t="s">
        <v>32</v>
      </c>
      <c r="AS60" t="s">
        <v>34</v>
      </c>
      <c r="AT60" t="s">
        <v>35</v>
      </c>
      <c r="AU60" t="s">
        <v>47</v>
      </c>
      <c r="AV60" t="s">
        <v>48</v>
      </c>
      <c r="BE60" t="s">
        <v>21</v>
      </c>
      <c r="BF60" t="s">
        <v>22</v>
      </c>
      <c r="BG60" t="s">
        <v>5</v>
      </c>
      <c r="BH60" t="s">
        <v>6</v>
      </c>
      <c r="BI60" s="9" t="s">
        <v>7</v>
      </c>
      <c r="BJ60" s="9" t="s">
        <v>8</v>
      </c>
      <c r="BK60" t="s">
        <v>10</v>
      </c>
      <c r="BL60" t="s">
        <v>11</v>
      </c>
    </row>
    <row r="61" spans="1:64">
      <c r="A61">
        <v>60</v>
      </c>
      <c r="B61">
        <v>80</v>
      </c>
      <c r="C61">
        <v>15</v>
      </c>
      <c r="D61">
        <v>0</v>
      </c>
      <c r="E61" t="s">
        <v>20</v>
      </c>
      <c r="G61">
        <v>15</v>
      </c>
      <c r="H61">
        <v>41.6</v>
      </c>
      <c r="Y61">
        <v>41.3</v>
      </c>
      <c r="Z61">
        <v>-52</v>
      </c>
      <c r="AA61">
        <v>36.6</v>
      </c>
      <c r="AB61">
        <v>-40.700000000000003</v>
      </c>
      <c r="AD61">
        <v>41.3</v>
      </c>
      <c r="AE61">
        <v>-52</v>
      </c>
      <c r="AF61">
        <v>36.6</v>
      </c>
      <c r="AG61">
        <v>-52</v>
      </c>
      <c r="BE61">
        <v>15.8</v>
      </c>
      <c r="BF61">
        <v>-24.1</v>
      </c>
      <c r="BG61">
        <v>15.8</v>
      </c>
      <c r="BH61">
        <v>-49</v>
      </c>
      <c r="BI61" s="9">
        <v>15.8</v>
      </c>
      <c r="BJ61" s="9">
        <v>-65.7</v>
      </c>
      <c r="BK61">
        <v>16.899999999999999</v>
      </c>
      <c r="BL61">
        <v>-113.3</v>
      </c>
    </row>
    <row r="62" spans="1:64">
      <c r="A62">
        <v>60</v>
      </c>
      <c r="B62">
        <v>80</v>
      </c>
      <c r="C62">
        <v>30</v>
      </c>
      <c r="D62">
        <v>0</v>
      </c>
      <c r="E62" t="s">
        <v>20</v>
      </c>
      <c r="G62">
        <v>30</v>
      </c>
      <c r="H62">
        <v>48.1</v>
      </c>
      <c r="Y62">
        <v>46.5</v>
      </c>
      <c r="Z62">
        <v>-54.5</v>
      </c>
      <c r="AA62">
        <v>42.3</v>
      </c>
      <c r="AB62">
        <v>-47.1</v>
      </c>
      <c r="AD62">
        <v>46.5</v>
      </c>
      <c r="AE62">
        <v>-54.5</v>
      </c>
      <c r="AF62">
        <v>42.3</v>
      </c>
      <c r="AG62">
        <v>-47.1</v>
      </c>
      <c r="BE62" t="s">
        <v>42</v>
      </c>
      <c r="BF62" t="s">
        <v>42</v>
      </c>
      <c r="BG62">
        <v>18.3</v>
      </c>
      <c r="BH62">
        <v>-56.7</v>
      </c>
      <c r="BI62" s="9">
        <v>18.3</v>
      </c>
      <c r="BJ62" s="9">
        <v>-76</v>
      </c>
      <c r="BK62">
        <v>18.3</v>
      </c>
      <c r="BL62">
        <v>-99.2</v>
      </c>
    </row>
    <row r="63" spans="1:64">
      <c r="A63">
        <v>60</v>
      </c>
      <c r="B63">
        <v>80</v>
      </c>
      <c r="C63">
        <v>45</v>
      </c>
      <c r="D63">
        <v>0</v>
      </c>
      <c r="E63" t="s">
        <v>20</v>
      </c>
      <c r="G63">
        <v>45</v>
      </c>
      <c r="H63">
        <v>52.4</v>
      </c>
      <c r="Y63">
        <v>49.3</v>
      </c>
      <c r="Z63">
        <v>-56.5</v>
      </c>
      <c r="AA63">
        <v>46.1</v>
      </c>
      <c r="AB63">
        <v>-51.3</v>
      </c>
      <c r="AD63">
        <v>49.3</v>
      </c>
      <c r="AE63">
        <v>-56.5</v>
      </c>
      <c r="AF63">
        <v>46.1</v>
      </c>
      <c r="AG63">
        <v>-51.3</v>
      </c>
      <c r="BE63" t="s">
        <v>42</v>
      </c>
      <c r="BF63" t="s">
        <v>42</v>
      </c>
      <c r="BG63">
        <v>19.899999999999999</v>
      </c>
      <c r="BH63">
        <v>-73.8</v>
      </c>
      <c r="BI63" s="9">
        <v>19.899999999999999</v>
      </c>
      <c r="BJ63" s="9">
        <v>-82.8</v>
      </c>
      <c r="BK63">
        <v>19.899999999999999</v>
      </c>
      <c r="BL63">
        <v>-89.7</v>
      </c>
    </row>
    <row r="64" spans="1:64">
      <c r="A64">
        <v>60</v>
      </c>
      <c r="B64">
        <v>80</v>
      </c>
      <c r="C64">
        <v>15</v>
      </c>
      <c r="D64">
        <v>15</v>
      </c>
      <c r="E64" t="s">
        <v>23</v>
      </c>
      <c r="G64">
        <v>23.04</v>
      </c>
      <c r="H64">
        <v>45.5</v>
      </c>
      <c r="I64">
        <v>6</v>
      </c>
      <c r="K64">
        <v>21.8</v>
      </c>
      <c r="L64">
        <v>-30.9</v>
      </c>
      <c r="M64">
        <v>21.8</v>
      </c>
      <c r="N64">
        <v>-30.9</v>
      </c>
      <c r="O64">
        <v>21.8</v>
      </c>
      <c r="P64">
        <v>-79.2</v>
      </c>
      <c r="Q64">
        <v>21.8</v>
      </c>
      <c r="R64">
        <v>-53.7</v>
      </c>
      <c r="S64">
        <v>27</v>
      </c>
      <c r="T64">
        <v>-111.3</v>
      </c>
      <c r="U64">
        <v>27</v>
      </c>
      <c r="V64">
        <v>-129.69999999999999</v>
      </c>
      <c r="Y64">
        <v>45.1</v>
      </c>
      <c r="Z64">
        <v>-56.4</v>
      </c>
      <c r="AA64">
        <v>40</v>
      </c>
      <c r="AB64">
        <v>-44.6</v>
      </c>
      <c r="AD64">
        <v>45.2</v>
      </c>
      <c r="AE64">
        <v>-56.9</v>
      </c>
      <c r="AF64">
        <v>40</v>
      </c>
      <c r="AG64">
        <v>-44.6</v>
      </c>
    </row>
    <row r="65" spans="1:33">
      <c r="A65">
        <v>60</v>
      </c>
      <c r="B65">
        <v>80</v>
      </c>
      <c r="C65">
        <v>15</v>
      </c>
      <c r="D65">
        <v>30</v>
      </c>
      <c r="E65" t="s">
        <v>23</v>
      </c>
      <c r="G65">
        <v>32.32</v>
      </c>
      <c r="H65">
        <v>48.9</v>
      </c>
      <c r="I65">
        <v>6</v>
      </c>
      <c r="K65">
        <v>33.200000000000003</v>
      </c>
      <c r="L65">
        <v>-47.9</v>
      </c>
      <c r="M65">
        <v>33.200000000000003</v>
      </c>
      <c r="N65">
        <v>-47.9</v>
      </c>
      <c r="O65">
        <v>33.200000000000003</v>
      </c>
      <c r="P65">
        <v>-68</v>
      </c>
      <c r="Q65">
        <v>33.200000000000003</v>
      </c>
      <c r="R65">
        <v>-47.9</v>
      </c>
      <c r="S65">
        <v>42.7</v>
      </c>
      <c r="T65">
        <v>-105.8</v>
      </c>
      <c r="U65">
        <v>42.7</v>
      </c>
      <c r="V65">
        <v>-86.9</v>
      </c>
      <c r="Y65">
        <v>48.4</v>
      </c>
      <c r="Z65">
        <v>-60.1</v>
      </c>
      <c r="AA65">
        <v>43</v>
      </c>
      <c r="AB65">
        <v>-47.9</v>
      </c>
      <c r="AD65">
        <v>48.6</v>
      </c>
      <c r="AE65">
        <v>-61.1</v>
      </c>
      <c r="AF65">
        <v>43</v>
      </c>
      <c r="AG65">
        <v>-47.9</v>
      </c>
    </row>
    <row r="66" spans="1:33">
      <c r="A66">
        <v>60</v>
      </c>
      <c r="B66">
        <v>80</v>
      </c>
      <c r="C66">
        <v>15</v>
      </c>
      <c r="D66">
        <v>45</v>
      </c>
      <c r="E66" t="s">
        <v>23</v>
      </c>
      <c r="G66">
        <v>45</v>
      </c>
      <c r="H66">
        <v>52.4</v>
      </c>
      <c r="I66">
        <v>6</v>
      </c>
      <c r="K66">
        <v>35.6</v>
      </c>
      <c r="L66">
        <v>-72.900000000000006</v>
      </c>
      <c r="M66">
        <v>35.6</v>
      </c>
      <c r="N66">
        <v>-51.3</v>
      </c>
      <c r="O66">
        <v>35.6</v>
      </c>
      <c r="P66">
        <v>-72.900000000000006</v>
      </c>
      <c r="Q66">
        <v>35.6</v>
      </c>
      <c r="R66">
        <v>-51.3</v>
      </c>
      <c r="S66">
        <v>45.7</v>
      </c>
      <c r="T66">
        <v>-113.5</v>
      </c>
      <c r="U66">
        <v>45.7</v>
      </c>
      <c r="V66">
        <v>-93.2</v>
      </c>
      <c r="Y66">
        <v>51.7</v>
      </c>
      <c r="Z66">
        <v>-63.9</v>
      </c>
      <c r="AA66">
        <v>46.1</v>
      </c>
      <c r="AB66">
        <v>-51.3</v>
      </c>
      <c r="AD66">
        <v>52.1</v>
      </c>
      <c r="AE66">
        <v>-65.5</v>
      </c>
      <c r="AF66">
        <v>46.1</v>
      </c>
      <c r="AG66">
        <v>-51.3</v>
      </c>
    </row>
    <row r="67" spans="1:33">
      <c r="A67">
        <v>60</v>
      </c>
      <c r="B67">
        <v>80</v>
      </c>
      <c r="C67">
        <v>30</v>
      </c>
      <c r="D67">
        <v>15</v>
      </c>
      <c r="E67" t="s">
        <v>23</v>
      </c>
      <c r="G67">
        <v>38.04</v>
      </c>
      <c r="H67">
        <v>50.6</v>
      </c>
      <c r="I67">
        <v>6</v>
      </c>
      <c r="K67">
        <v>24.3</v>
      </c>
      <c r="L67">
        <v>-34.4</v>
      </c>
      <c r="M67">
        <v>24.3</v>
      </c>
      <c r="N67">
        <v>-34.4</v>
      </c>
      <c r="O67">
        <v>24.3</v>
      </c>
      <c r="P67">
        <v>-88</v>
      </c>
      <c r="Q67">
        <v>24.3</v>
      </c>
      <c r="R67">
        <v>-59.7</v>
      </c>
      <c r="S67">
        <v>30</v>
      </c>
      <c r="T67">
        <v>-123.7</v>
      </c>
      <c r="U67">
        <v>30</v>
      </c>
      <c r="V67">
        <v>-144.19999999999999</v>
      </c>
      <c r="Y67">
        <v>48.8</v>
      </c>
      <c r="Z67">
        <v>-57</v>
      </c>
      <c r="AA67">
        <v>44.5</v>
      </c>
      <c r="AB67">
        <v>-49.5</v>
      </c>
      <c r="AD67">
        <v>48.8</v>
      </c>
      <c r="AE67">
        <v>-57.3</v>
      </c>
      <c r="AF67">
        <v>44.5</v>
      </c>
      <c r="AG67">
        <v>-49.5</v>
      </c>
    </row>
    <row r="68" spans="1:33">
      <c r="A68">
        <v>60</v>
      </c>
      <c r="B68">
        <v>80</v>
      </c>
      <c r="C68">
        <v>30</v>
      </c>
      <c r="D68">
        <v>30</v>
      </c>
      <c r="E68" t="s">
        <v>23</v>
      </c>
      <c r="G68">
        <v>47.32</v>
      </c>
      <c r="H68">
        <v>52.9</v>
      </c>
      <c r="I68">
        <v>6</v>
      </c>
      <c r="K68">
        <v>36</v>
      </c>
      <c r="L68">
        <v>-51.9</v>
      </c>
      <c r="M68">
        <v>36</v>
      </c>
      <c r="N68">
        <v>-51.9</v>
      </c>
      <c r="O68">
        <v>36</v>
      </c>
      <c r="P68">
        <v>-73.7</v>
      </c>
      <c r="Q68">
        <v>36</v>
      </c>
      <c r="R68">
        <v>-51.9</v>
      </c>
      <c r="S68">
        <v>46.2</v>
      </c>
      <c r="T68">
        <v>-114.7</v>
      </c>
      <c r="U68">
        <v>46.2</v>
      </c>
      <c r="V68">
        <v>-94.2</v>
      </c>
      <c r="Y68">
        <v>51</v>
      </c>
      <c r="Z68">
        <v>-59.4</v>
      </c>
      <c r="AA68">
        <v>46.6</v>
      </c>
      <c r="AB68">
        <v>-51.9</v>
      </c>
      <c r="AD68">
        <v>51.1</v>
      </c>
      <c r="AE68">
        <v>-60</v>
      </c>
      <c r="AF68">
        <v>46.6</v>
      </c>
      <c r="AG68">
        <v>-51.9</v>
      </c>
    </row>
    <row r="69" spans="1:33">
      <c r="A69">
        <v>60</v>
      </c>
      <c r="B69">
        <v>80</v>
      </c>
      <c r="C69">
        <v>30</v>
      </c>
      <c r="D69">
        <v>45</v>
      </c>
      <c r="E69" t="s">
        <v>23</v>
      </c>
      <c r="G69">
        <v>60</v>
      </c>
      <c r="H69">
        <v>55.6</v>
      </c>
      <c r="I69">
        <v>6</v>
      </c>
      <c r="K69">
        <v>37.799999999999997</v>
      </c>
      <c r="L69">
        <v>-54.5</v>
      </c>
      <c r="M69">
        <v>37.799999999999997</v>
      </c>
      <c r="N69">
        <v>-54.5</v>
      </c>
      <c r="O69">
        <v>37.799999999999997</v>
      </c>
      <c r="P69">
        <v>-77.400000000000006</v>
      </c>
      <c r="Q69">
        <v>37.799999999999997</v>
      </c>
      <c r="R69">
        <v>-54.5</v>
      </c>
      <c r="S69">
        <v>48.6</v>
      </c>
      <c r="T69">
        <v>-120.6</v>
      </c>
      <c r="U69">
        <v>48.6</v>
      </c>
      <c r="V69">
        <v>-99</v>
      </c>
      <c r="Y69">
        <v>53.5</v>
      </c>
      <c r="Z69">
        <v>-61.9</v>
      </c>
      <c r="AA69">
        <v>49</v>
      </c>
      <c r="AB69">
        <v>-54.5</v>
      </c>
      <c r="AD69">
        <v>53.8</v>
      </c>
      <c r="AE69">
        <v>-63.1</v>
      </c>
      <c r="AF69">
        <v>49</v>
      </c>
      <c r="AG69">
        <v>-54.5</v>
      </c>
    </row>
    <row r="70" spans="1:33">
      <c r="A70">
        <v>60</v>
      </c>
      <c r="B70">
        <v>80</v>
      </c>
      <c r="C70">
        <v>45</v>
      </c>
      <c r="D70">
        <v>15</v>
      </c>
      <c r="E70" t="s">
        <v>23</v>
      </c>
      <c r="G70">
        <v>53.04</v>
      </c>
      <c r="H70">
        <v>54.2</v>
      </c>
      <c r="I70">
        <v>6</v>
      </c>
      <c r="K70">
        <v>26</v>
      </c>
      <c r="L70">
        <v>-36.9</v>
      </c>
      <c r="M70">
        <v>26</v>
      </c>
      <c r="N70">
        <v>-36.9</v>
      </c>
      <c r="O70">
        <v>26</v>
      </c>
      <c r="P70">
        <v>-94.3</v>
      </c>
      <c r="Q70">
        <v>26</v>
      </c>
      <c r="R70">
        <v>-64</v>
      </c>
      <c r="S70">
        <v>32.1</v>
      </c>
      <c r="T70">
        <v>-132.6</v>
      </c>
      <c r="U70">
        <v>32.1</v>
      </c>
      <c r="V70">
        <v>-154.6</v>
      </c>
      <c r="Y70">
        <v>51</v>
      </c>
      <c r="Z70">
        <v>-58.4</v>
      </c>
      <c r="AA70">
        <v>47.7</v>
      </c>
      <c r="AB70">
        <v>-53.1</v>
      </c>
      <c r="AD70">
        <v>51</v>
      </c>
      <c r="AE70">
        <v>-58.5</v>
      </c>
      <c r="AF70">
        <v>47.7</v>
      </c>
      <c r="AG70">
        <v>-53.1</v>
      </c>
    </row>
    <row r="71" spans="1:33">
      <c r="A71">
        <v>60</v>
      </c>
      <c r="B71">
        <v>80</v>
      </c>
      <c r="C71">
        <v>45</v>
      </c>
      <c r="D71">
        <v>30</v>
      </c>
      <c r="E71" t="s">
        <v>23</v>
      </c>
      <c r="G71">
        <v>62.32</v>
      </c>
      <c r="H71" s="6" t="s">
        <v>116</v>
      </c>
    </row>
    <row r="72" spans="1:33">
      <c r="A72">
        <v>60</v>
      </c>
      <c r="B72">
        <v>80</v>
      </c>
      <c r="C72">
        <v>40</v>
      </c>
      <c r="D72">
        <v>45</v>
      </c>
      <c r="E72" t="s">
        <v>23</v>
      </c>
      <c r="G72">
        <v>57.32</v>
      </c>
      <c r="H72">
        <v>55.1</v>
      </c>
      <c r="I72">
        <v>6</v>
      </c>
      <c r="K72">
        <v>37.5</v>
      </c>
      <c r="L72">
        <v>-54</v>
      </c>
      <c r="M72">
        <v>37.5</v>
      </c>
      <c r="N72">
        <v>-54</v>
      </c>
      <c r="O72">
        <v>37.5</v>
      </c>
      <c r="P72">
        <v>-76.7</v>
      </c>
      <c r="Q72">
        <v>37.5</v>
      </c>
      <c r="R72">
        <v>-54</v>
      </c>
      <c r="S72">
        <v>48.1</v>
      </c>
      <c r="T72">
        <v>-119.4</v>
      </c>
      <c r="U72">
        <v>48.1</v>
      </c>
      <c r="V72">
        <v>-98.1</v>
      </c>
      <c r="Y72">
        <v>52.2</v>
      </c>
      <c r="Z72">
        <v>-60</v>
      </c>
      <c r="AA72">
        <v>48.5</v>
      </c>
      <c r="AB72">
        <v>-54</v>
      </c>
      <c r="AD72">
        <v>52.3</v>
      </c>
      <c r="AE72">
        <v>-60.2</v>
      </c>
      <c r="AF72">
        <v>48.5</v>
      </c>
      <c r="AG72">
        <v>-54</v>
      </c>
    </row>
    <row r="73" spans="1:33">
      <c r="A73">
        <v>60</v>
      </c>
      <c r="B73">
        <v>80</v>
      </c>
      <c r="C73">
        <v>15</v>
      </c>
      <c r="D73">
        <v>15</v>
      </c>
      <c r="E73" t="s">
        <v>24</v>
      </c>
    </row>
    <row r="74" spans="1:33">
      <c r="A74">
        <v>60</v>
      </c>
      <c r="B74">
        <v>80</v>
      </c>
      <c r="C74">
        <v>15</v>
      </c>
      <c r="D74">
        <v>30</v>
      </c>
      <c r="E74" t="s">
        <v>24</v>
      </c>
    </row>
    <row r="75" spans="1:33">
      <c r="A75">
        <v>60</v>
      </c>
      <c r="B75">
        <v>80</v>
      </c>
      <c r="C75">
        <v>15</v>
      </c>
      <c r="D75">
        <v>45</v>
      </c>
      <c r="E75" t="s">
        <v>24</v>
      </c>
    </row>
    <row r="76" spans="1:33">
      <c r="A76">
        <v>60</v>
      </c>
      <c r="B76">
        <v>80</v>
      </c>
      <c r="C76">
        <v>30</v>
      </c>
      <c r="D76">
        <v>15</v>
      </c>
      <c r="E76" t="s">
        <v>24</v>
      </c>
    </row>
    <row r="77" spans="1:33">
      <c r="A77">
        <v>60</v>
      </c>
      <c r="B77">
        <v>80</v>
      </c>
      <c r="C77">
        <v>30</v>
      </c>
      <c r="D77">
        <v>30</v>
      </c>
      <c r="E77" t="s">
        <v>24</v>
      </c>
    </row>
    <row r="78" spans="1:33">
      <c r="A78">
        <v>60</v>
      </c>
      <c r="B78">
        <v>80</v>
      </c>
      <c r="C78">
        <v>30</v>
      </c>
      <c r="D78">
        <v>45</v>
      </c>
      <c r="E78" t="s">
        <v>24</v>
      </c>
    </row>
    <row r="79" spans="1:33">
      <c r="A79">
        <v>60</v>
      </c>
      <c r="B79">
        <v>80</v>
      </c>
      <c r="C79">
        <v>45</v>
      </c>
      <c r="D79">
        <v>15</v>
      </c>
      <c r="E79" t="s">
        <v>24</v>
      </c>
    </row>
    <row r="80" spans="1:33">
      <c r="A80">
        <v>60</v>
      </c>
      <c r="B80">
        <v>80</v>
      </c>
      <c r="C80">
        <v>45</v>
      </c>
      <c r="D80">
        <v>30</v>
      </c>
      <c r="E80" t="s">
        <v>24</v>
      </c>
    </row>
    <row r="81" spans="1:5">
      <c r="A81">
        <v>60</v>
      </c>
      <c r="B81">
        <v>80</v>
      </c>
      <c r="C81">
        <v>45</v>
      </c>
      <c r="D81">
        <v>45</v>
      </c>
      <c r="E8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2DC-833F-4AB7-BB6A-AAF773AC0FA2}">
  <dimension ref="A1:BF76"/>
  <sheetViews>
    <sheetView topLeftCell="A3" zoomScale="70" zoomScaleNormal="70" workbookViewId="0">
      <selection activeCell="G13" sqref="G13:L13"/>
    </sheetView>
  </sheetViews>
  <sheetFormatPr defaultRowHeight="14.25"/>
  <cols>
    <col min="3" max="3" width="13" bestFit="1" customWidth="1"/>
    <col min="13" max="14" width="9" style="9"/>
    <col min="52" max="52" width="13.25" bestFit="1" customWidth="1"/>
    <col min="55" max="56" width="9" style="9"/>
  </cols>
  <sheetData>
    <row r="1" spans="1:58" s="2" customFormat="1" ht="23.25">
      <c r="A1" s="2" t="s">
        <v>0</v>
      </c>
      <c r="D1" s="11" t="s">
        <v>17</v>
      </c>
      <c r="M1" s="8"/>
      <c r="N1" s="8"/>
      <c r="BC1" s="8"/>
      <c r="BD1" s="8"/>
    </row>
    <row r="2" spans="1:58" ht="15">
      <c r="A2" t="s">
        <v>27</v>
      </c>
      <c r="BC2" s="10" t="s">
        <v>111</v>
      </c>
    </row>
    <row r="3" spans="1:58">
      <c r="A3" t="s">
        <v>28</v>
      </c>
    </row>
    <row r="4" spans="1:58">
      <c r="A4" t="s">
        <v>39</v>
      </c>
    </row>
    <row r="5" spans="1:58" ht="15">
      <c r="A5" t="s">
        <v>40</v>
      </c>
      <c r="S5" s="1"/>
      <c r="T5" s="1" t="s">
        <v>25</v>
      </c>
      <c r="U5" s="1"/>
      <c r="V5" s="1"/>
      <c r="W5" s="1"/>
      <c r="X5" s="1"/>
      <c r="Y5" s="1"/>
      <c r="Z5" s="1"/>
      <c r="AA5" s="1"/>
      <c r="AZ5" s="1" t="s">
        <v>25</v>
      </c>
    </row>
    <row r="7" spans="1:58" ht="15">
      <c r="K7" s="1"/>
      <c r="L7" s="1"/>
      <c r="R7" s="1"/>
      <c r="T7" t="s">
        <v>110</v>
      </c>
      <c r="Y7" t="s">
        <v>109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BC7" s="10"/>
      <c r="BD7" s="10"/>
      <c r="BE7" s="1"/>
      <c r="BF7" s="1"/>
    </row>
    <row r="8" spans="1:58" ht="15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s="10" t="s">
        <v>38</v>
      </c>
      <c r="T8" t="s">
        <v>36</v>
      </c>
      <c r="Y8" t="s">
        <v>36</v>
      </c>
      <c r="AJ8" t="s">
        <v>37</v>
      </c>
      <c r="BA8" s="1" t="s">
        <v>33</v>
      </c>
    </row>
    <row r="9" spans="1:58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s="9" t="s">
        <v>7</v>
      </c>
      <c r="N9" s="9" t="s">
        <v>8</v>
      </c>
      <c r="O9" t="s">
        <v>10</v>
      </c>
      <c r="P9" t="s">
        <v>11</v>
      </c>
      <c r="S9" t="s">
        <v>14</v>
      </c>
      <c r="T9" t="s">
        <v>15</v>
      </c>
      <c r="U9" t="s">
        <v>12</v>
      </c>
      <c r="V9" t="s">
        <v>13</v>
      </c>
      <c r="X9" t="s">
        <v>14</v>
      </c>
      <c r="Y9" t="s">
        <v>15</v>
      </c>
      <c r="Z9" t="s">
        <v>12</v>
      </c>
      <c r="AA9" t="s">
        <v>13</v>
      </c>
      <c r="AG9" t="s">
        <v>5</v>
      </c>
      <c r="AH9" t="s">
        <v>6</v>
      </c>
      <c r="AI9" t="s">
        <v>29</v>
      </c>
      <c r="AJ9" t="s">
        <v>30</v>
      </c>
      <c r="AK9" t="s">
        <v>31</v>
      </c>
      <c r="AL9" t="s">
        <v>32</v>
      </c>
      <c r="AM9" t="s">
        <v>34</v>
      </c>
      <c r="AN9" t="s">
        <v>35</v>
      </c>
      <c r="AO9" t="s">
        <v>47</v>
      </c>
      <c r="AP9" t="s">
        <v>48</v>
      </c>
      <c r="AY9" t="s">
        <v>21</v>
      </c>
      <c r="AZ9" t="s">
        <v>22</v>
      </c>
      <c r="BA9" t="s">
        <v>5</v>
      </c>
      <c r="BB9" t="s">
        <v>6</v>
      </c>
      <c r="BC9" s="9" t="s">
        <v>7</v>
      </c>
      <c r="BD9" s="9" t="s">
        <v>8</v>
      </c>
      <c r="BE9" t="s">
        <v>10</v>
      </c>
      <c r="BF9" t="s">
        <v>11</v>
      </c>
    </row>
    <row r="10" spans="1:58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S10">
        <v>41.8</v>
      </c>
      <c r="T10">
        <v>-54.4</v>
      </c>
      <c r="U10">
        <v>36.799999999999997</v>
      </c>
      <c r="V10">
        <v>-40.9</v>
      </c>
      <c r="X10">
        <v>41.8</v>
      </c>
      <c r="Y10">
        <v>-54.4</v>
      </c>
      <c r="Z10">
        <v>36.6</v>
      </c>
      <c r="AA10">
        <v>-40.700000000000003</v>
      </c>
      <c r="AY10">
        <v>15.9</v>
      </c>
      <c r="AZ10">
        <v>-44.9</v>
      </c>
      <c r="BA10">
        <v>15.8</v>
      </c>
      <c r="BB10">
        <v>-49</v>
      </c>
      <c r="BC10" s="9">
        <v>15.8</v>
      </c>
      <c r="BD10" s="9">
        <v>-65.7</v>
      </c>
      <c r="BE10">
        <v>16.899999999999999</v>
      </c>
      <c r="BF10">
        <v>-112.6</v>
      </c>
    </row>
    <row r="11" spans="1:58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S11">
        <v>47.3</v>
      </c>
      <c r="T11">
        <v>-58</v>
      </c>
      <c r="U11">
        <v>42.3</v>
      </c>
      <c r="V11">
        <v>-47.1</v>
      </c>
      <c r="X11">
        <v>47.3</v>
      </c>
      <c r="Y11">
        <v>-58</v>
      </c>
      <c r="Z11">
        <v>42.3</v>
      </c>
      <c r="AA11">
        <v>-47.1</v>
      </c>
      <c r="AY11" t="s">
        <v>42</v>
      </c>
      <c r="AZ11" t="s">
        <v>42</v>
      </c>
      <c r="BA11">
        <v>18.399999999999999</v>
      </c>
      <c r="BB11">
        <v>-71.099999999999994</v>
      </c>
      <c r="BC11" s="9">
        <v>18.3</v>
      </c>
      <c r="BD11" s="9">
        <v>-76</v>
      </c>
      <c r="BE11">
        <v>18.3</v>
      </c>
      <c r="BF11">
        <v>-99.2</v>
      </c>
    </row>
    <row r="12" spans="1:58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S12">
        <v>50.6</v>
      </c>
      <c r="T12">
        <v>-59.4</v>
      </c>
      <c r="U12">
        <v>46.1</v>
      </c>
      <c r="V12">
        <v>-51.3</v>
      </c>
      <c r="X12">
        <v>50.6</v>
      </c>
      <c r="Y12">
        <v>-59.4</v>
      </c>
      <c r="Z12">
        <v>46.1</v>
      </c>
      <c r="AA12">
        <v>-51.3</v>
      </c>
      <c r="AY12" t="s">
        <v>42</v>
      </c>
      <c r="AZ12" t="s">
        <v>42</v>
      </c>
      <c r="BA12" t="s">
        <v>42</v>
      </c>
      <c r="BB12" t="s">
        <v>42</v>
      </c>
      <c r="BC12" s="9">
        <v>19.899999999999999</v>
      </c>
      <c r="BD12" s="9">
        <v>-82.8</v>
      </c>
      <c r="BE12">
        <v>19.899999999999999</v>
      </c>
      <c r="BF12">
        <v>-89.7</v>
      </c>
    </row>
    <row r="13" spans="1:58">
      <c r="A13">
        <v>40</v>
      </c>
      <c r="B13">
        <v>60</v>
      </c>
      <c r="C13">
        <v>15</v>
      </c>
      <c r="D13">
        <v>15</v>
      </c>
      <c r="E13" t="s">
        <v>23</v>
      </c>
    </row>
    <row r="14" spans="1:58">
      <c r="A14">
        <v>40</v>
      </c>
      <c r="B14">
        <v>60</v>
      </c>
      <c r="C14">
        <v>15</v>
      </c>
      <c r="D14">
        <v>30</v>
      </c>
      <c r="E14" t="s">
        <v>23</v>
      </c>
    </row>
    <row r="15" spans="1:58">
      <c r="A15">
        <v>40</v>
      </c>
      <c r="B15">
        <v>60</v>
      </c>
      <c r="C15">
        <v>15</v>
      </c>
      <c r="D15">
        <v>45</v>
      </c>
      <c r="E15" t="s">
        <v>23</v>
      </c>
    </row>
    <row r="16" spans="1:58">
      <c r="A16">
        <v>40</v>
      </c>
      <c r="B16">
        <v>60</v>
      </c>
      <c r="C16">
        <v>30</v>
      </c>
      <c r="D16">
        <v>15</v>
      </c>
      <c r="E16" t="s">
        <v>23</v>
      </c>
    </row>
    <row r="17" spans="1:5">
      <c r="A17">
        <v>40</v>
      </c>
      <c r="B17">
        <v>60</v>
      </c>
      <c r="C17">
        <v>30</v>
      </c>
      <c r="D17">
        <v>30</v>
      </c>
      <c r="E17" t="s">
        <v>23</v>
      </c>
    </row>
    <row r="18" spans="1:5">
      <c r="A18">
        <v>40</v>
      </c>
      <c r="B18">
        <v>60</v>
      </c>
      <c r="C18">
        <v>30</v>
      </c>
      <c r="D18">
        <v>45</v>
      </c>
      <c r="E18" t="s">
        <v>23</v>
      </c>
    </row>
    <row r="19" spans="1:5">
      <c r="A19">
        <v>40</v>
      </c>
      <c r="B19">
        <v>60</v>
      </c>
      <c r="C19">
        <v>45</v>
      </c>
      <c r="D19">
        <v>15</v>
      </c>
      <c r="E19" t="s">
        <v>23</v>
      </c>
    </row>
    <row r="20" spans="1:5">
      <c r="A20">
        <v>40</v>
      </c>
      <c r="B20">
        <v>60</v>
      </c>
      <c r="C20">
        <v>45</v>
      </c>
      <c r="D20">
        <v>30</v>
      </c>
      <c r="E20" t="s">
        <v>23</v>
      </c>
    </row>
    <row r="21" spans="1:5">
      <c r="A21">
        <v>40</v>
      </c>
      <c r="B21">
        <v>60</v>
      </c>
      <c r="C21">
        <v>45</v>
      </c>
      <c r="D21">
        <v>45</v>
      </c>
      <c r="E21" t="s">
        <v>23</v>
      </c>
    </row>
    <row r="22" spans="1:5">
      <c r="A22">
        <v>40</v>
      </c>
      <c r="B22">
        <v>60</v>
      </c>
      <c r="C22">
        <v>15</v>
      </c>
      <c r="D22">
        <v>15</v>
      </c>
      <c r="E22" t="s">
        <v>24</v>
      </c>
    </row>
    <row r="23" spans="1:5">
      <c r="A23">
        <v>40</v>
      </c>
      <c r="B23">
        <v>60</v>
      </c>
      <c r="C23">
        <v>15</v>
      </c>
      <c r="D23">
        <v>30</v>
      </c>
      <c r="E23" t="s">
        <v>24</v>
      </c>
    </row>
    <row r="24" spans="1:5">
      <c r="A24">
        <v>40</v>
      </c>
      <c r="B24">
        <v>60</v>
      </c>
      <c r="C24">
        <v>15</v>
      </c>
      <c r="D24">
        <v>45</v>
      </c>
      <c r="E24" t="s">
        <v>24</v>
      </c>
    </row>
    <row r="25" spans="1:5">
      <c r="A25">
        <v>40</v>
      </c>
      <c r="B25">
        <v>60</v>
      </c>
      <c r="C25">
        <v>30</v>
      </c>
      <c r="D25">
        <v>15</v>
      </c>
      <c r="E25" t="s">
        <v>24</v>
      </c>
    </row>
    <row r="26" spans="1:5">
      <c r="A26">
        <v>40</v>
      </c>
      <c r="B26">
        <v>60</v>
      </c>
      <c r="C26">
        <v>30</v>
      </c>
      <c r="D26">
        <v>30</v>
      </c>
      <c r="E26" t="s">
        <v>24</v>
      </c>
    </row>
    <row r="27" spans="1:5">
      <c r="A27">
        <v>40</v>
      </c>
      <c r="B27">
        <v>60</v>
      </c>
      <c r="C27">
        <v>30</v>
      </c>
      <c r="D27">
        <v>45</v>
      </c>
      <c r="E27" t="s">
        <v>24</v>
      </c>
    </row>
    <row r="28" spans="1:5">
      <c r="A28">
        <v>40</v>
      </c>
      <c r="B28">
        <v>60</v>
      </c>
      <c r="C28">
        <v>45</v>
      </c>
      <c r="D28">
        <v>15</v>
      </c>
      <c r="E28" t="s">
        <v>24</v>
      </c>
    </row>
    <row r="29" spans="1:5">
      <c r="A29">
        <v>40</v>
      </c>
      <c r="B29">
        <v>60</v>
      </c>
      <c r="C29">
        <v>45</v>
      </c>
      <c r="D29">
        <v>30</v>
      </c>
      <c r="E29" t="s">
        <v>24</v>
      </c>
    </row>
    <row r="30" spans="1:5">
      <c r="A30">
        <v>40</v>
      </c>
      <c r="B30">
        <v>60</v>
      </c>
      <c r="C30">
        <v>45</v>
      </c>
      <c r="D30">
        <v>45</v>
      </c>
      <c r="E30" t="s">
        <v>24</v>
      </c>
    </row>
    <row r="33" spans="1:58">
      <c r="A33">
        <v>50</v>
      </c>
      <c r="B33">
        <v>70</v>
      </c>
      <c r="C33">
        <v>15</v>
      </c>
      <c r="D33">
        <v>0</v>
      </c>
      <c r="E33" t="s">
        <v>20</v>
      </c>
      <c r="G33">
        <v>15</v>
      </c>
      <c r="H33">
        <v>41.6</v>
      </c>
      <c r="S33">
        <v>41.6</v>
      </c>
      <c r="T33">
        <v>-53.2</v>
      </c>
      <c r="U33">
        <v>36.6</v>
      </c>
      <c r="V33">
        <v>-40.700000000000003</v>
      </c>
      <c r="X33">
        <v>41.6</v>
      </c>
      <c r="Y33">
        <v>-53.2</v>
      </c>
      <c r="Z33">
        <v>36.6</v>
      </c>
      <c r="AA33">
        <v>-40.700000000000003</v>
      </c>
      <c r="AY33">
        <v>15.8</v>
      </c>
      <c r="AZ33">
        <v>-25.3</v>
      </c>
      <c r="BA33">
        <v>15.8</v>
      </c>
      <c r="BB33">
        <v>-49</v>
      </c>
      <c r="BC33" s="9">
        <v>15.8</v>
      </c>
      <c r="BD33" s="9">
        <v>-65.7</v>
      </c>
      <c r="BE33">
        <v>16.899999999999999</v>
      </c>
      <c r="BF33">
        <v>-112.6</v>
      </c>
    </row>
    <row r="34" spans="1:58">
      <c r="A34">
        <v>50</v>
      </c>
      <c r="B34">
        <v>70</v>
      </c>
      <c r="C34">
        <v>30</v>
      </c>
      <c r="D34">
        <v>0</v>
      </c>
      <c r="E34" t="s">
        <v>20</v>
      </c>
      <c r="G34">
        <v>30</v>
      </c>
      <c r="H34">
        <v>48.1</v>
      </c>
      <c r="S34">
        <v>46.9</v>
      </c>
      <c r="T34">
        <v>-56.3</v>
      </c>
      <c r="U34">
        <v>42.3</v>
      </c>
      <c r="V34">
        <v>-47.1</v>
      </c>
      <c r="X34">
        <v>46.9</v>
      </c>
      <c r="Y34">
        <v>-56.3</v>
      </c>
      <c r="Z34">
        <v>42.3</v>
      </c>
      <c r="AA34">
        <v>-47.1</v>
      </c>
      <c r="AY34" t="s">
        <v>42</v>
      </c>
      <c r="AZ34" t="s">
        <v>42</v>
      </c>
      <c r="BA34">
        <v>18.3</v>
      </c>
      <c r="BB34">
        <v>-57.4</v>
      </c>
      <c r="BC34" s="9">
        <v>18.3</v>
      </c>
      <c r="BD34" s="9">
        <v>-76</v>
      </c>
      <c r="BE34">
        <v>18.3</v>
      </c>
      <c r="BF34">
        <v>-99.2</v>
      </c>
    </row>
    <row r="35" spans="1:58">
      <c r="A35">
        <v>50</v>
      </c>
      <c r="B35">
        <v>70</v>
      </c>
      <c r="C35">
        <v>45</v>
      </c>
      <c r="D35">
        <v>0</v>
      </c>
      <c r="E35" t="s">
        <v>20</v>
      </c>
      <c r="G35">
        <v>45</v>
      </c>
      <c r="H35">
        <v>52.4</v>
      </c>
      <c r="S35">
        <v>49.9</v>
      </c>
      <c r="T35">
        <v>-57.6</v>
      </c>
      <c r="U35">
        <v>46.1</v>
      </c>
      <c r="V35">
        <v>-51.3</v>
      </c>
      <c r="X35">
        <v>49.9</v>
      </c>
      <c r="Y35">
        <v>-57.6</v>
      </c>
      <c r="Z35">
        <v>46.1</v>
      </c>
      <c r="AA35">
        <v>-51.3</v>
      </c>
      <c r="AY35" t="s">
        <v>42</v>
      </c>
      <c r="AZ35" t="s">
        <v>42</v>
      </c>
      <c r="BA35" t="s">
        <v>42</v>
      </c>
      <c r="BB35" t="s">
        <v>42</v>
      </c>
      <c r="BC35" s="9">
        <v>19.899999999999999</v>
      </c>
      <c r="BD35" s="9">
        <v>-82.8</v>
      </c>
      <c r="BE35">
        <v>19.899999999999999</v>
      </c>
      <c r="BF35">
        <v>-89.7</v>
      </c>
    </row>
    <row r="36" spans="1:58">
      <c r="A36">
        <v>50</v>
      </c>
      <c r="B36">
        <v>70</v>
      </c>
      <c r="C36">
        <v>15</v>
      </c>
      <c r="D36">
        <v>15</v>
      </c>
      <c r="E36" t="s">
        <v>23</v>
      </c>
    </row>
    <row r="37" spans="1:58">
      <c r="A37">
        <v>50</v>
      </c>
      <c r="B37">
        <v>70</v>
      </c>
      <c r="C37">
        <v>15</v>
      </c>
      <c r="D37">
        <v>30</v>
      </c>
      <c r="E37" t="s">
        <v>23</v>
      </c>
    </row>
    <row r="38" spans="1:58">
      <c r="A38">
        <v>50</v>
      </c>
      <c r="B38">
        <v>70</v>
      </c>
      <c r="C38">
        <v>15</v>
      </c>
      <c r="D38">
        <v>45</v>
      </c>
      <c r="E38" t="s">
        <v>23</v>
      </c>
    </row>
    <row r="39" spans="1:58">
      <c r="A39">
        <v>50</v>
      </c>
      <c r="B39">
        <v>70</v>
      </c>
      <c r="C39">
        <v>30</v>
      </c>
      <c r="D39">
        <v>15</v>
      </c>
      <c r="E39" t="s">
        <v>23</v>
      </c>
    </row>
    <row r="40" spans="1:58">
      <c r="A40">
        <v>50</v>
      </c>
      <c r="B40">
        <v>70</v>
      </c>
      <c r="C40">
        <v>30</v>
      </c>
      <c r="D40">
        <v>30</v>
      </c>
      <c r="E40" t="s">
        <v>23</v>
      </c>
    </row>
    <row r="41" spans="1:58">
      <c r="A41">
        <v>50</v>
      </c>
      <c r="B41">
        <v>70</v>
      </c>
      <c r="C41">
        <v>30</v>
      </c>
      <c r="D41">
        <v>45</v>
      </c>
      <c r="E41" t="s">
        <v>23</v>
      </c>
    </row>
    <row r="42" spans="1:58">
      <c r="A42">
        <v>50</v>
      </c>
      <c r="B42">
        <v>70</v>
      </c>
      <c r="C42">
        <v>45</v>
      </c>
      <c r="D42">
        <v>15</v>
      </c>
      <c r="E42" t="s">
        <v>23</v>
      </c>
    </row>
    <row r="43" spans="1:58">
      <c r="A43">
        <v>50</v>
      </c>
      <c r="B43">
        <v>70</v>
      </c>
      <c r="C43">
        <v>45</v>
      </c>
      <c r="D43">
        <v>30</v>
      </c>
      <c r="E43" t="s">
        <v>23</v>
      </c>
    </row>
    <row r="44" spans="1:58">
      <c r="A44">
        <v>50</v>
      </c>
      <c r="B44">
        <v>70</v>
      </c>
      <c r="C44">
        <v>45</v>
      </c>
      <c r="D44">
        <v>45</v>
      </c>
      <c r="E44" t="s">
        <v>23</v>
      </c>
    </row>
    <row r="45" spans="1:58">
      <c r="A45">
        <v>50</v>
      </c>
      <c r="B45">
        <v>70</v>
      </c>
      <c r="C45">
        <v>15</v>
      </c>
      <c r="D45">
        <v>15</v>
      </c>
      <c r="E45" t="s">
        <v>24</v>
      </c>
    </row>
    <row r="46" spans="1:58">
      <c r="A46">
        <v>50</v>
      </c>
      <c r="B46">
        <v>70</v>
      </c>
      <c r="C46">
        <v>15</v>
      </c>
      <c r="D46">
        <v>30</v>
      </c>
      <c r="E46" t="s">
        <v>24</v>
      </c>
    </row>
    <row r="47" spans="1:58">
      <c r="A47">
        <v>50</v>
      </c>
      <c r="B47">
        <v>70</v>
      </c>
      <c r="C47">
        <v>15</v>
      </c>
      <c r="D47">
        <v>45</v>
      </c>
      <c r="E47" t="s">
        <v>24</v>
      </c>
    </row>
    <row r="48" spans="1:58">
      <c r="A48">
        <v>50</v>
      </c>
      <c r="B48">
        <v>70</v>
      </c>
      <c r="C48">
        <v>30</v>
      </c>
      <c r="D48">
        <v>15</v>
      </c>
      <c r="E48" t="s">
        <v>24</v>
      </c>
    </row>
    <row r="49" spans="1:58">
      <c r="A49">
        <v>50</v>
      </c>
      <c r="B49">
        <v>70</v>
      </c>
      <c r="C49">
        <v>30</v>
      </c>
      <c r="D49">
        <v>30</v>
      </c>
      <c r="E49" t="s">
        <v>24</v>
      </c>
    </row>
    <row r="50" spans="1:58">
      <c r="A50">
        <v>50</v>
      </c>
      <c r="B50">
        <v>70</v>
      </c>
      <c r="C50">
        <v>30</v>
      </c>
      <c r="D50">
        <v>45</v>
      </c>
      <c r="E50" t="s">
        <v>24</v>
      </c>
    </row>
    <row r="51" spans="1:58">
      <c r="A51">
        <v>50</v>
      </c>
      <c r="B51">
        <v>70</v>
      </c>
      <c r="C51">
        <v>45</v>
      </c>
      <c r="D51">
        <v>15</v>
      </c>
      <c r="E51" t="s">
        <v>24</v>
      </c>
    </row>
    <row r="52" spans="1:58">
      <c r="A52">
        <v>50</v>
      </c>
      <c r="B52">
        <v>70</v>
      </c>
      <c r="C52">
        <v>45</v>
      </c>
      <c r="D52">
        <v>30</v>
      </c>
      <c r="E52" t="s">
        <v>24</v>
      </c>
    </row>
    <row r="53" spans="1:58">
      <c r="A53">
        <v>50</v>
      </c>
      <c r="B53">
        <v>70</v>
      </c>
      <c r="C53">
        <v>45</v>
      </c>
      <c r="D53">
        <v>45</v>
      </c>
      <c r="E53" t="s">
        <v>24</v>
      </c>
    </row>
    <row r="56" spans="1:58">
      <c r="A56">
        <v>60</v>
      </c>
      <c r="B56">
        <v>80</v>
      </c>
      <c r="C56">
        <v>15</v>
      </c>
      <c r="D56">
        <v>0</v>
      </c>
      <c r="E56" t="s">
        <v>20</v>
      </c>
      <c r="G56">
        <v>15</v>
      </c>
      <c r="H56">
        <v>41.6</v>
      </c>
      <c r="S56">
        <v>41.3</v>
      </c>
      <c r="T56">
        <v>-52</v>
      </c>
      <c r="U56">
        <v>36.6</v>
      </c>
      <c r="V56">
        <v>-40.700000000000003</v>
      </c>
      <c r="X56">
        <v>41.3</v>
      </c>
      <c r="Y56">
        <v>-52</v>
      </c>
      <c r="Z56">
        <v>36.6</v>
      </c>
      <c r="AA56">
        <v>-40.700000000000003</v>
      </c>
      <c r="AY56">
        <v>15.8</v>
      </c>
      <c r="AZ56">
        <v>-24.1</v>
      </c>
      <c r="BA56">
        <v>15.8</v>
      </c>
      <c r="BB56">
        <v>-49</v>
      </c>
      <c r="BC56" s="9">
        <v>15.8</v>
      </c>
      <c r="BD56" s="9">
        <v>-65.7</v>
      </c>
      <c r="BE56">
        <v>16.899999999999999</v>
      </c>
      <c r="BF56">
        <v>-112.6</v>
      </c>
    </row>
    <row r="57" spans="1:58">
      <c r="A57">
        <v>60</v>
      </c>
      <c r="B57">
        <v>80</v>
      </c>
      <c r="C57">
        <v>30</v>
      </c>
      <c r="D57">
        <v>0</v>
      </c>
      <c r="E57" t="s">
        <v>20</v>
      </c>
      <c r="G57">
        <v>30</v>
      </c>
      <c r="H57">
        <v>48.1</v>
      </c>
      <c r="S57">
        <v>46.5</v>
      </c>
      <c r="T57">
        <v>-54.5</v>
      </c>
      <c r="U57">
        <v>42.3</v>
      </c>
      <c r="V57">
        <v>-47.1</v>
      </c>
      <c r="X57">
        <v>46.5</v>
      </c>
      <c r="Y57">
        <v>-54.5</v>
      </c>
      <c r="Z57">
        <v>42.3</v>
      </c>
      <c r="AA57">
        <v>-47.1</v>
      </c>
      <c r="AY57" t="s">
        <v>42</v>
      </c>
      <c r="AZ57" t="s">
        <v>42</v>
      </c>
      <c r="BA57">
        <v>18.3</v>
      </c>
      <c r="BB57">
        <v>-56.7</v>
      </c>
      <c r="BC57" s="9">
        <v>18.3</v>
      </c>
      <c r="BD57" s="9">
        <v>-76</v>
      </c>
      <c r="BE57">
        <v>18.3</v>
      </c>
      <c r="BF57">
        <v>-99.2</v>
      </c>
    </row>
    <row r="58" spans="1:58">
      <c r="A58">
        <v>60</v>
      </c>
      <c r="B58">
        <v>80</v>
      </c>
      <c r="C58">
        <v>45</v>
      </c>
      <c r="D58">
        <v>0</v>
      </c>
      <c r="E58" t="s">
        <v>20</v>
      </c>
      <c r="G58">
        <v>45</v>
      </c>
      <c r="H58">
        <v>52.4</v>
      </c>
      <c r="S58">
        <v>49.3</v>
      </c>
      <c r="T58">
        <v>-56.5</v>
      </c>
      <c r="U58">
        <v>46.1</v>
      </c>
      <c r="V58">
        <v>-51.3</v>
      </c>
      <c r="X58">
        <v>49.3</v>
      </c>
      <c r="Y58">
        <v>-56.5</v>
      </c>
      <c r="Z58">
        <v>46.1</v>
      </c>
      <c r="AA58">
        <v>-51.3</v>
      </c>
      <c r="AY58" t="s">
        <v>42</v>
      </c>
      <c r="AZ58" t="s">
        <v>42</v>
      </c>
      <c r="BA58">
        <v>19.899999999999999</v>
      </c>
      <c r="BB58">
        <v>-73.8</v>
      </c>
      <c r="BC58" s="9">
        <v>19.899999999999999</v>
      </c>
      <c r="BD58" s="9">
        <v>-82.8</v>
      </c>
      <c r="BE58">
        <v>19.899999999999999</v>
      </c>
      <c r="BF58">
        <v>-89.7</v>
      </c>
    </row>
    <row r="59" spans="1:58">
      <c r="A59">
        <v>60</v>
      </c>
      <c r="B59">
        <v>80</v>
      </c>
      <c r="C59">
        <v>15</v>
      </c>
      <c r="D59">
        <v>15</v>
      </c>
      <c r="E59" t="s">
        <v>23</v>
      </c>
    </row>
    <row r="60" spans="1:58">
      <c r="A60">
        <v>60</v>
      </c>
      <c r="B60">
        <v>80</v>
      </c>
      <c r="C60">
        <v>15</v>
      </c>
      <c r="D60">
        <v>30</v>
      </c>
      <c r="E60" t="s">
        <v>23</v>
      </c>
    </row>
    <row r="61" spans="1:58">
      <c r="A61">
        <v>60</v>
      </c>
      <c r="B61">
        <v>80</v>
      </c>
      <c r="C61">
        <v>15</v>
      </c>
      <c r="D61">
        <v>45</v>
      </c>
      <c r="E61" t="s">
        <v>23</v>
      </c>
    </row>
    <row r="62" spans="1:58">
      <c r="A62">
        <v>60</v>
      </c>
      <c r="B62">
        <v>80</v>
      </c>
      <c r="C62">
        <v>30</v>
      </c>
      <c r="D62">
        <v>15</v>
      </c>
      <c r="E62" t="s">
        <v>23</v>
      </c>
    </row>
    <row r="63" spans="1:58">
      <c r="A63">
        <v>60</v>
      </c>
      <c r="B63">
        <v>80</v>
      </c>
      <c r="C63">
        <v>30</v>
      </c>
      <c r="D63">
        <v>30</v>
      </c>
      <c r="E63" t="s">
        <v>23</v>
      </c>
    </row>
    <row r="64" spans="1:58">
      <c r="A64">
        <v>60</v>
      </c>
      <c r="B64">
        <v>80</v>
      </c>
      <c r="C64">
        <v>30</v>
      </c>
      <c r="D64">
        <v>45</v>
      </c>
      <c r="E64" t="s">
        <v>23</v>
      </c>
    </row>
    <row r="65" spans="1:5">
      <c r="A65">
        <v>60</v>
      </c>
      <c r="B65">
        <v>80</v>
      </c>
      <c r="C65">
        <v>45</v>
      </c>
      <c r="D65">
        <v>15</v>
      </c>
      <c r="E65" t="s">
        <v>23</v>
      </c>
    </row>
    <row r="66" spans="1:5">
      <c r="A66">
        <v>60</v>
      </c>
      <c r="B66">
        <v>80</v>
      </c>
      <c r="C66">
        <v>45</v>
      </c>
      <c r="D66">
        <v>30</v>
      </c>
      <c r="E66" t="s">
        <v>23</v>
      </c>
    </row>
    <row r="67" spans="1:5">
      <c r="A67">
        <v>60</v>
      </c>
      <c r="B67">
        <v>80</v>
      </c>
      <c r="C67">
        <v>45</v>
      </c>
      <c r="D67">
        <v>45</v>
      </c>
      <c r="E67" t="s">
        <v>23</v>
      </c>
    </row>
    <row r="68" spans="1:5">
      <c r="A68">
        <v>60</v>
      </c>
      <c r="B68">
        <v>80</v>
      </c>
      <c r="C68">
        <v>15</v>
      </c>
      <c r="D68">
        <v>15</v>
      </c>
      <c r="E68" t="s">
        <v>24</v>
      </c>
    </row>
    <row r="69" spans="1:5">
      <c r="A69">
        <v>60</v>
      </c>
      <c r="B69">
        <v>80</v>
      </c>
      <c r="C69">
        <v>15</v>
      </c>
      <c r="D69">
        <v>30</v>
      </c>
      <c r="E69" t="s">
        <v>24</v>
      </c>
    </row>
    <row r="70" spans="1:5">
      <c r="A70">
        <v>60</v>
      </c>
      <c r="B70">
        <v>80</v>
      </c>
      <c r="C70">
        <v>15</v>
      </c>
      <c r="D70">
        <v>45</v>
      </c>
      <c r="E70" t="s">
        <v>24</v>
      </c>
    </row>
    <row r="71" spans="1:5">
      <c r="A71">
        <v>60</v>
      </c>
      <c r="B71">
        <v>80</v>
      </c>
      <c r="C71">
        <v>30</v>
      </c>
      <c r="D71">
        <v>15</v>
      </c>
      <c r="E71" t="s">
        <v>24</v>
      </c>
    </row>
    <row r="72" spans="1:5">
      <c r="A72">
        <v>60</v>
      </c>
      <c r="B72">
        <v>80</v>
      </c>
      <c r="C72">
        <v>30</v>
      </c>
      <c r="D72">
        <v>30</v>
      </c>
      <c r="E72" t="s">
        <v>24</v>
      </c>
    </row>
    <row r="73" spans="1:5">
      <c r="A73">
        <v>60</v>
      </c>
      <c r="B73">
        <v>80</v>
      </c>
      <c r="C73">
        <v>30</v>
      </c>
      <c r="D73">
        <v>45</v>
      </c>
      <c r="E73" t="s">
        <v>24</v>
      </c>
    </row>
    <row r="74" spans="1:5">
      <c r="A74">
        <v>60</v>
      </c>
      <c r="B74">
        <v>80</v>
      </c>
      <c r="C74">
        <v>45</v>
      </c>
      <c r="D74">
        <v>15</v>
      </c>
      <c r="E74" t="s">
        <v>24</v>
      </c>
    </row>
    <row r="75" spans="1:5">
      <c r="A75">
        <v>60</v>
      </c>
      <c r="B75">
        <v>80</v>
      </c>
      <c r="C75">
        <v>45</v>
      </c>
      <c r="D75">
        <v>30</v>
      </c>
      <c r="E75" t="s">
        <v>24</v>
      </c>
    </row>
    <row r="76" spans="1:5">
      <c r="A76">
        <v>60</v>
      </c>
      <c r="B76">
        <v>80</v>
      </c>
      <c r="C76">
        <v>45</v>
      </c>
      <c r="D76">
        <v>45</v>
      </c>
      <c r="E76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O25"/>
  <sheetViews>
    <sheetView workbookViewId="0">
      <selection activeCell="A24" sqref="A24"/>
    </sheetView>
  </sheetViews>
  <sheetFormatPr defaultRowHeight="14.25"/>
  <cols>
    <col min="2" max="2" width="25.125" customWidth="1"/>
    <col min="7" max="7" width="12.875" customWidth="1"/>
  </cols>
  <sheetData>
    <row r="1" spans="1:15" s="1" customFormat="1" ht="15">
      <c r="A1" s="1" t="s">
        <v>93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6</v>
      </c>
      <c r="I4" t="s">
        <v>1</v>
      </c>
      <c r="K4" t="s">
        <v>77</v>
      </c>
      <c r="L4" s="5">
        <v>0.85</v>
      </c>
      <c r="M4" t="s">
        <v>78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0.96</v>
      </c>
      <c r="O5" t="s">
        <v>92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0.00256*B8*B8*L4*L3</f>
        <v>41.616</v>
      </c>
      <c r="M6" t="s">
        <v>41</v>
      </c>
    </row>
    <row r="7" spans="1:15" ht="15" thickBot="1">
      <c r="A7" t="s">
        <v>58</v>
      </c>
      <c r="B7" s="5">
        <v>15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52</v>
      </c>
      <c r="B8" s="5">
        <v>150</v>
      </c>
      <c r="C8" t="s">
        <v>53</v>
      </c>
      <c r="E8" s="3" t="s">
        <v>56</v>
      </c>
      <c r="F8" s="4">
        <f>MAX(F6,F4)</f>
        <v>4</v>
      </c>
      <c r="G8" t="s">
        <v>1</v>
      </c>
    </row>
    <row r="10" spans="1:15" ht="15">
      <c r="A10" s="1" t="s">
        <v>73</v>
      </c>
      <c r="G10" t="s">
        <v>81</v>
      </c>
      <c r="H10" t="s">
        <v>81</v>
      </c>
      <c r="I10" t="s">
        <v>82</v>
      </c>
      <c r="J10" t="s">
        <v>83</v>
      </c>
      <c r="L10" t="s">
        <v>89</v>
      </c>
      <c r="M10" t="s">
        <v>90</v>
      </c>
    </row>
    <row r="11" spans="1:15">
      <c r="A11" t="s">
        <v>54</v>
      </c>
      <c r="C11" t="s">
        <v>66</v>
      </c>
      <c r="E11" t="s">
        <v>75</v>
      </c>
      <c r="F11" t="s">
        <v>76</v>
      </c>
      <c r="G11" t="s">
        <v>85</v>
      </c>
      <c r="H11" t="s">
        <v>86</v>
      </c>
      <c r="I11" t="s">
        <v>84</v>
      </c>
      <c r="J11" s="6" t="s">
        <v>88</v>
      </c>
      <c r="L11" t="s">
        <v>41</v>
      </c>
      <c r="M11" t="s">
        <v>41</v>
      </c>
    </row>
    <row r="12" spans="1:15">
      <c r="A12" t="s">
        <v>55</v>
      </c>
      <c r="B12" t="s">
        <v>69</v>
      </c>
      <c r="C12">
        <f>($B$5-2.4*$B$7)*($B$4-2.4*$B$7)</f>
        <v>96</v>
      </c>
      <c r="E12">
        <v>0.20399999999999999</v>
      </c>
      <c r="F12">
        <v>-0.9</v>
      </c>
      <c r="G12">
        <f>$L$6*E12</f>
        <v>8.4896639999999994</v>
      </c>
      <c r="H12">
        <f>$L$6*F12</f>
        <v>-37.4544</v>
      </c>
      <c r="I12">
        <f>$L$6*$L$2</f>
        <v>7.4908799999999998</v>
      </c>
      <c r="J12">
        <f>-$L$6*$L$2</f>
        <v>-7.4908799999999998</v>
      </c>
      <c r="L12">
        <f>G12+I12</f>
        <v>15.980543999999998</v>
      </c>
      <c r="M12">
        <f>H12+J12</f>
        <v>-44.945279999999997</v>
      </c>
    </row>
    <row r="13" spans="1:15">
      <c r="A13">
        <v>1</v>
      </c>
      <c r="B13" t="s">
        <v>70</v>
      </c>
      <c r="C13">
        <f>($B$5-1.2*$B$7)*($B$4-1.2*$B$7)-C12</f>
        <v>828</v>
      </c>
      <c r="E13">
        <v>0.2</v>
      </c>
      <c r="F13">
        <v>-1</v>
      </c>
      <c r="G13">
        <f t="shared" ref="G13:G15" si="0">$L$6*E13</f>
        <v>8.3231999999999999</v>
      </c>
      <c r="H13">
        <f t="shared" ref="H13:H15" si="1">$L$6*F13</f>
        <v>-41.616</v>
      </c>
      <c r="I13">
        <f t="shared" ref="I13:I15" si="2">$L$6*$L$2</f>
        <v>7.4908799999999998</v>
      </c>
      <c r="J13">
        <f t="shared" ref="J13:J15" si="3">-$L$6*$L$2</f>
        <v>-7.4908799999999998</v>
      </c>
      <c r="L13">
        <f t="shared" ref="L13:L15" si="4">G13+I13</f>
        <v>15.814080000000001</v>
      </c>
      <c r="M13">
        <f t="shared" ref="M13:M15" si="5">H13+J13</f>
        <v>-49.106879999999997</v>
      </c>
    </row>
    <row r="14" spans="1:15">
      <c r="A14">
        <v>2</v>
      </c>
      <c r="B14" t="s">
        <v>71</v>
      </c>
      <c r="C14">
        <f>B4*B5-C12-C13-4*C15</f>
        <v>1296</v>
      </c>
      <c r="E14">
        <v>0.2</v>
      </c>
      <c r="F14">
        <v>-1.4</v>
      </c>
      <c r="G14">
        <f t="shared" si="0"/>
        <v>8.3231999999999999</v>
      </c>
      <c r="H14">
        <f t="shared" si="1"/>
        <v>-58.262399999999992</v>
      </c>
      <c r="I14">
        <f t="shared" si="2"/>
        <v>7.4908799999999998</v>
      </c>
      <c r="J14">
        <f t="shared" si="3"/>
        <v>-7.4908799999999998</v>
      </c>
      <c r="L14">
        <f t="shared" si="4"/>
        <v>15.814080000000001</v>
      </c>
      <c r="M14">
        <f t="shared" si="5"/>
        <v>-65.75327999999999</v>
      </c>
    </row>
    <row r="15" spans="1:15">
      <c r="A15">
        <v>3</v>
      </c>
      <c r="B15" t="s">
        <v>68</v>
      </c>
      <c r="C15">
        <f>0.2*$B$7*$B$7</f>
        <v>45</v>
      </c>
      <c r="E15">
        <v>0.23</v>
      </c>
      <c r="F15">
        <v>-2.5499999999999998</v>
      </c>
      <c r="G15">
        <f t="shared" si="0"/>
        <v>9.5716800000000006</v>
      </c>
      <c r="H15">
        <f t="shared" si="1"/>
        <v>-106.12079999999999</v>
      </c>
      <c r="I15">
        <f t="shared" si="2"/>
        <v>7.4908799999999998</v>
      </c>
      <c r="J15">
        <f t="shared" si="3"/>
        <v>-7.4908799999999998</v>
      </c>
      <c r="L15">
        <f t="shared" si="4"/>
        <v>17.062560000000001</v>
      </c>
      <c r="M15">
        <f t="shared" si="5"/>
        <v>-113.61167999999999</v>
      </c>
    </row>
    <row r="16" spans="1:15" ht="15">
      <c r="B16" s="1" t="s">
        <v>72</v>
      </c>
      <c r="C16" s="1">
        <f>C12+C13+C14+4*C15</f>
        <v>2400</v>
      </c>
      <c r="D16" t="str">
        <f>IF(C16=B4*B5,"OK","ERROR")</f>
        <v>OK</v>
      </c>
    </row>
    <row r="19" spans="1:13" ht="15">
      <c r="A19" s="1" t="s">
        <v>107</v>
      </c>
    </row>
    <row r="20" spans="1:13">
      <c r="A20">
        <v>4</v>
      </c>
      <c r="B20" t="s">
        <v>74</v>
      </c>
      <c r="C20">
        <f>($B$5-2*$F$8)*($B$6)</f>
        <v>780</v>
      </c>
      <c r="E20">
        <v>0.71</v>
      </c>
      <c r="F20">
        <v>-0.8</v>
      </c>
      <c r="G20">
        <f t="shared" ref="G20:G21" si="6">$L$6*E20</f>
        <v>29.547359999999998</v>
      </c>
      <c r="H20">
        <f t="shared" ref="H20:H21" si="7">$L$6*F20</f>
        <v>-33.2928</v>
      </c>
      <c r="I20">
        <f t="shared" ref="I20:I21" si="8">$L$6*$L$2</f>
        <v>7.4908799999999998</v>
      </c>
      <c r="J20">
        <f t="shared" ref="J20:J21" si="9">-$L$6*$L$2</f>
        <v>-7.4908799999999998</v>
      </c>
      <c r="L20">
        <f t="shared" ref="L20:L21" si="10">G20+I20</f>
        <v>37.038239999999995</v>
      </c>
      <c r="M20">
        <f>H20+J20</f>
        <v>-40.783679999999997</v>
      </c>
    </row>
    <row r="21" spans="1:13">
      <c r="A21">
        <v>5</v>
      </c>
      <c r="B21" t="s">
        <v>65</v>
      </c>
      <c r="C21">
        <f>F8*B6</f>
        <v>60</v>
      </c>
      <c r="E21">
        <v>0.83</v>
      </c>
      <c r="F21">
        <v>-1.1499999999999999</v>
      </c>
      <c r="G21">
        <f t="shared" si="6"/>
        <v>34.54128</v>
      </c>
      <c r="H21">
        <f t="shared" si="7"/>
        <v>-47.858399999999996</v>
      </c>
      <c r="I21">
        <f t="shared" si="8"/>
        <v>7.4908799999999998</v>
      </c>
      <c r="J21">
        <f t="shared" si="9"/>
        <v>-7.4908799999999998</v>
      </c>
      <c r="L21">
        <f t="shared" si="10"/>
        <v>42.032159999999998</v>
      </c>
      <c r="M21">
        <f>H21+J21</f>
        <v>-55.349279999999993</v>
      </c>
    </row>
    <row r="23" spans="1:13" ht="15">
      <c r="A23" s="1" t="s">
        <v>108</v>
      </c>
    </row>
    <row r="24" spans="1:13">
      <c r="A24">
        <v>4</v>
      </c>
      <c r="B24" t="s">
        <v>67</v>
      </c>
      <c r="C24">
        <f>($B$4-2*$F$8)*($B$6)</f>
        <v>480</v>
      </c>
      <c r="E24">
        <v>0.71</v>
      </c>
      <c r="F24">
        <v>-0.81</v>
      </c>
      <c r="G24">
        <f t="shared" ref="G24:G25" si="11">$L$6*E24</f>
        <v>29.547359999999998</v>
      </c>
      <c r="H24">
        <f t="shared" ref="H24:H25" si="12">$L$6*F24</f>
        <v>-33.708960000000005</v>
      </c>
      <c r="I24">
        <f t="shared" ref="I24:I25" si="13">$L$6*$L$2</f>
        <v>7.4908799999999998</v>
      </c>
      <c r="J24">
        <f t="shared" ref="J24:J25" si="14">-$L$6*$L$2</f>
        <v>-7.4908799999999998</v>
      </c>
      <c r="L24">
        <f t="shared" ref="L24" si="15">G24+I24</f>
        <v>37.038239999999995</v>
      </c>
      <c r="M24">
        <f>H24+J24</f>
        <v>-41.199840000000002</v>
      </c>
    </row>
    <row r="25" spans="1:13">
      <c r="A25">
        <v>5</v>
      </c>
      <c r="B25" t="s">
        <v>65</v>
      </c>
      <c r="C25">
        <f>$F$8*B6</f>
        <v>60</v>
      </c>
      <c r="E25">
        <v>0.83</v>
      </c>
      <c r="F25">
        <v>-1.1499999999999999</v>
      </c>
      <c r="G25">
        <f t="shared" si="11"/>
        <v>34.54128</v>
      </c>
      <c r="H25">
        <f t="shared" si="12"/>
        <v>-47.858399999999996</v>
      </c>
      <c r="I25">
        <f t="shared" si="13"/>
        <v>7.4908799999999998</v>
      </c>
      <c r="J25">
        <f t="shared" si="14"/>
        <v>-7.4908799999999998</v>
      </c>
      <c r="L25">
        <f t="shared" ref="L25" si="16">G25+I25</f>
        <v>42.032159999999998</v>
      </c>
      <c r="M25">
        <f>H25+J25</f>
        <v>-55.349279999999993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C204F-B815-41FF-8AD4-130B8F24A18C}">
  <dimension ref="A1:O30"/>
  <sheetViews>
    <sheetView tabSelected="1" workbookViewId="0">
      <selection activeCell="B7" sqref="B7"/>
    </sheetView>
  </sheetViews>
  <sheetFormatPr defaultRowHeight="14.25"/>
  <cols>
    <col min="2" max="2" width="33.75" customWidth="1"/>
    <col min="7" max="7" width="12.875" customWidth="1"/>
  </cols>
  <sheetData>
    <row r="1" spans="1:15" s="1" customFormat="1" ht="15">
      <c r="A1" s="1" t="s">
        <v>94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  <c r="N3" t="s">
        <v>77</v>
      </c>
      <c r="O3" t="s">
        <v>147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0</v>
      </c>
      <c r="G4" t="s">
        <v>57</v>
      </c>
      <c r="H4">
        <f>0.4*B7</f>
        <v>0</v>
      </c>
      <c r="I4" t="s">
        <v>1</v>
      </c>
      <c r="K4" t="s">
        <v>77</v>
      </c>
      <c r="L4" s="5">
        <v>0.88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0.88</v>
      </c>
      <c r="O5" t="s">
        <v>146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43.084800000000001</v>
      </c>
      <c r="M6" t="s">
        <v>41</v>
      </c>
      <c r="N6">
        <v>0.91</v>
      </c>
      <c r="O6" t="s">
        <v>105</v>
      </c>
    </row>
    <row r="7" spans="1:15" ht="15" thickBot="1">
      <c r="A7" t="s">
        <v>58</v>
      </c>
      <c r="B7" s="7">
        <f>D7</f>
        <v>0</v>
      </c>
      <c r="C7" t="s">
        <v>1</v>
      </c>
      <c r="G7">
        <v>3</v>
      </c>
      <c r="H7">
        <v>3</v>
      </c>
      <c r="I7" t="s">
        <v>1</v>
      </c>
      <c r="N7">
        <v>0.96</v>
      </c>
      <c r="O7" t="s">
        <v>92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3</v>
      </c>
      <c r="G8" t="s">
        <v>1</v>
      </c>
    </row>
    <row r="9" spans="1:15">
      <c r="A9" t="s">
        <v>52</v>
      </c>
      <c r="B9" s="5">
        <v>150</v>
      </c>
      <c r="C9" t="s">
        <v>53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>
      <c r="A12" t="s">
        <v>54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t="s">
        <v>96</v>
      </c>
      <c r="B13" t="s">
        <v>101</v>
      </c>
      <c r="C13">
        <f>F8*F8</f>
        <v>9</v>
      </c>
      <c r="E13">
        <v>0.48</v>
      </c>
      <c r="F13">
        <v>-2.74</v>
      </c>
      <c r="G13">
        <f>$L$6*E13</f>
        <v>20.680703999999999</v>
      </c>
      <c r="H13">
        <f>$L$6*F13</f>
        <v>-118.05235200000001</v>
      </c>
      <c r="I13">
        <f>$L$6*$L$2</f>
        <v>7.7552640000000004</v>
      </c>
      <c r="J13">
        <f>-$L$6*$L$2</f>
        <v>-7.7552640000000004</v>
      </c>
      <c r="L13">
        <f>G13+I13</f>
        <v>28.435967999999999</v>
      </c>
      <c r="M13">
        <f>H13+J13</f>
        <v>-125.80761600000001</v>
      </c>
    </row>
    <row r="14" spans="1:15">
      <c r="A14" t="s">
        <v>97</v>
      </c>
      <c r="B14" t="s">
        <v>101</v>
      </c>
      <c r="C14">
        <f>F8*F8</f>
        <v>9</v>
      </c>
      <c r="E14">
        <v>0.5</v>
      </c>
      <c r="F14">
        <v>-3.35</v>
      </c>
      <c r="G14">
        <f t="shared" ref="G14:G18" si="0">$L$6*E14</f>
        <v>21.542400000000001</v>
      </c>
      <c r="H14">
        <f t="shared" ref="H14:H18" si="1">$L$6*F14</f>
        <v>-144.33408</v>
      </c>
      <c r="I14">
        <f t="shared" ref="I14:I18" si="2">$L$6*$L$2</f>
        <v>7.7552640000000004</v>
      </c>
      <c r="J14">
        <f t="shared" ref="J14:J18" si="3">-$L$6*$L$2</f>
        <v>-7.7552640000000004</v>
      </c>
      <c r="L14">
        <f t="shared" ref="L14:L18" si="4">G14+I14</f>
        <v>29.297664000000001</v>
      </c>
      <c r="M14">
        <f t="shared" ref="M14:M18" si="5">H14+J14</f>
        <v>-152.08934400000001</v>
      </c>
    </row>
    <row r="15" spans="1:15">
      <c r="A15" t="s">
        <v>98</v>
      </c>
      <c r="B15" t="s">
        <v>102</v>
      </c>
      <c r="C15">
        <f>(B4/2-2*F8)*F8</f>
        <v>42</v>
      </c>
      <c r="E15">
        <v>0.38</v>
      </c>
      <c r="F15">
        <v>-2.02</v>
      </c>
      <c r="G15">
        <f t="shared" si="0"/>
        <v>16.372223999999999</v>
      </c>
      <c r="H15">
        <f t="shared" si="1"/>
        <v>-87.031295999999998</v>
      </c>
      <c r="I15">
        <f t="shared" si="2"/>
        <v>7.7552640000000004</v>
      </c>
      <c r="J15">
        <f t="shared" si="3"/>
        <v>-7.7552640000000004</v>
      </c>
      <c r="L15">
        <f t="shared" si="4"/>
        <v>24.127488</v>
      </c>
      <c r="M15">
        <f t="shared" si="5"/>
        <v>-94.786559999999994</v>
      </c>
    </row>
    <row r="16" spans="1:15">
      <c r="A16" t="s">
        <v>99</v>
      </c>
      <c r="B16" t="s">
        <v>103</v>
      </c>
      <c r="C16">
        <f>(B5-2*F8)*F8</f>
        <v>162</v>
      </c>
      <c r="E16">
        <v>0.3</v>
      </c>
      <c r="F16">
        <v>-0.5</v>
      </c>
      <c r="G16">
        <f t="shared" si="0"/>
        <v>12.92544</v>
      </c>
      <c r="H16">
        <f t="shared" si="1"/>
        <v>-21.542400000000001</v>
      </c>
      <c r="I16">
        <f t="shared" si="2"/>
        <v>7.7552640000000004</v>
      </c>
      <c r="J16">
        <f t="shared" si="3"/>
        <v>-7.7552640000000004</v>
      </c>
      <c r="L16">
        <f t="shared" si="4"/>
        <v>20.680703999999999</v>
      </c>
      <c r="M16">
        <f t="shared" si="5"/>
        <v>-29.297664000000001</v>
      </c>
    </row>
    <row r="17" spans="1:13">
      <c r="A17" t="s">
        <v>100</v>
      </c>
      <c r="B17" t="s">
        <v>103</v>
      </c>
      <c r="C17">
        <f>(B5-2*$F$8)*$F$8</f>
        <v>162</v>
      </c>
      <c r="E17">
        <v>0.3</v>
      </c>
      <c r="F17">
        <v>-1.1000000000000001</v>
      </c>
      <c r="G17">
        <f t="shared" si="0"/>
        <v>12.92544</v>
      </c>
      <c r="H17">
        <f t="shared" si="1"/>
        <v>-47.393280000000004</v>
      </c>
      <c r="I17">
        <f t="shared" si="2"/>
        <v>7.7552640000000004</v>
      </c>
      <c r="J17">
        <f t="shared" si="3"/>
        <v>-7.7552640000000004</v>
      </c>
      <c r="L17">
        <f t="shared" si="4"/>
        <v>20.680703999999999</v>
      </c>
      <c r="M17">
        <f t="shared" si="5"/>
        <v>-55.148544000000001</v>
      </c>
    </row>
    <row r="18" spans="1:13">
      <c r="A18">
        <v>1</v>
      </c>
      <c r="B18" t="s">
        <v>104</v>
      </c>
      <c r="C18">
        <f>($B$5*$B$4/2)-2*C13-2*C14-2*C15-C16-C17</f>
        <v>756</v>
      </c>
      <c r="E18">
        <v>0.3</v>
      </c>
      <c r="F18">
        <v>-0.5</v>
      </c>
      <c r="G18">
        <f t="shared" si="0"/>
        <v>12.92544</v>
      </c>
      <c r="H18">
        <f t="shared" si="1"/>
        <v>-21.542400000000001</v>
      </c>
      <c r="I18">
        <f t="shared" si="2"/>
        <v>7.7552640000000004</v>
      </c>
      <c r="J18">
        <f t="shared" si="3"/>
        <v>-7.7552640000000004</v>
      </c>
      <c r="L18">
        <f t="shared" si="4"/>
        <v>20.680703999999999</v>
      </c>
      <c r="M18">
        <f t="shared" si="5"/>
        <v>-29.297664000000001</v>
      </c>
    </row>
    <row r="19" spans="1:13" ht="15">
      <c r="B19" t="s">
        <v>72</v>
      </c>
      <c r="C19" s="1">
        <f>C18+2*C13+2*C14+2*C15+C16+C17</f>
        <v>1200</v>
      </c>
      <c r="D19" t="str">
        <f>IF(C19=B4*B5/2,"OK","ERROR")</f>
        <v>OK</v>
      </c>
    </row>
    <row r="21" spans="1:13" ht="15">
      <c r="A21" s="1" t="s">
        <v>107</v>
      </c>
    </row>
    <row r="22" spans="1:13">
      <c r="A22">
        <v>5</v>
      </c>
      <c r="B22" t="s">
        <v>65</v>
      </c>
      <c r="C22">
        <f>F8*B6</f>
        <v>45</v>
      </c>
      <c r="E22">
        <v>0.83</v>
      </c>
      <c r="F22">
        <v>-1.1299999999999999</v>
      </c>
      <c r="G22">
        <f>$L$6*E22</f>
        <v>35.760384000000002</v>
      </c>
      <c r="H22">
        <f>$L$6*F22</f>
        <v>-48.685823999999997</v>
      </c>
      <c r="I22">
        <f t="shared" ref="I22:I24" si="6">$L$6*$L$2</f>
        <v>7.7552640000000004</v>
      </c>
      <c r="J22">
        <f t="shared" ref="J22:J24" si="7">-$L$6*$L$2</f>
        <v>-7.7552640000000004</v>
      </c>
      <c r="L22">
        <f>G22+I22</f>
        <v>43.515647999999999</v>
      </c>
      <c r="M22">
        <f>H22+J22</f>
        <v>-56.441087999999993</v>
      </c>
    </row>
    <row r="23" spans="1:13">
      <c r="A23">
        <v>4</v>
      </c>
      <c r="B23" t="s">
        <v>74</v>
      </c>
      <c r="C23">
        <f>($B$5-2*$F$8)*($B$6)</f>
        <v>810</v>
      </c>
      <c r="E23">
        <v>0.71</v>
      </c>
      <c r="F23">
        <v>-0.8</v>
      </c>
      <c r="G23">
        <f>$L$6*E23</f>
        <v>30.590208000000001</v>
      </c>
      <c r="H23">
        <f>$L$6*F23</f>
        <v>-34.467840000000002</v>
      </c>
      <c r="I23">
        <f t="shared" si="6"/>
        <v>7.7552640000000004</v>
      </c>
      <c r="J23">
        <f t="shared" si="7"/>
        <v>-7.7552640000000004</v>
      </c>
      <c r="L23">
        <f>G23+I23</f>
        <v>38.345472000000001</v>
      </c>
      <c r="M23">
        <f>H23+J23</f>
        <v>-42.223104000000006</v>
      </c>
    </row>
    <row r="25" spans="1:13" ht="15">
      <c r="A25" s="1" t="s">
        <v>108</v>
      </c>
    </row>
    <row r="26" spans="1:13">
      <c r="A26">
        <v>5</v>
      </c>
      <c r="B26" t="s">
        <v>106</v>
      </c>
      <c r="C26">
        <f>0.5*($B$6+$B$6+$F$8*TAN(RADIANS($B$8)))*$F$8</f>
        <v>46.205771365940052</v>
      </c>
      <c r="E26">
        <v>0.83</v>
      </c>
      <c r="F26">
        <v>-1.1299999999999999</v>
      </c>
      <c r="G26">
        <f>$L$6*E26</f>
        <v>35.760384000000002</v>
      </c>
      <c r="H26">
        <f>$L$6*F26</f>
        <v>-48.685823999999997</v>
      </c>
      <c r="I26">
        <f t="shared" ref="I26:I28" si="8">$L$6*$L$2</f>
        <v>7.7552640000000004</v>
      </c>
      <c r="J26">
        <f t="shared" ref="J26:J28" si="9">-$L$6*$L$2</f>
        <v>-7.7552640000000004</v>
      </c>
      <c r="L26">
        <f>G26+I26</f>
        <v>43.515647999999999</v>
      </c>
      <c r="M26">
        <f>H26+J26</f>
        <v>-56.441087999999993</v>
      </c>
    </row>
    <row r="27" spans="1:13">
      <c r="A27">
        <v>4</v>
      </c>
      <c r="C27">
        <f>($B$6*$B$4)+0.5*$B$4/2*TAN(RADIANS(B8))*$B$4  - 2*C26</f>
        <v>614.768134240569</v>
      </c>
      <c r="E27">
        <v>0.7</v>
      </c>
      <c r="F27">
        <v>-0.8</v>
      </c>
      <c r="G27">
        <f>$L$6*E27</f>
        <v>30.15936</v>
      </c>
      <c r="H27">
        <f>$L$6*F27</f>
        <v>-34.467840000000002</v>
      </c>
      <c r="I27">
        <f t="shared" si="8"/>
        <v>7.7552640000000004</v>
      </c>
      <c r="J27">
        <f t="shared" si="9"/>
        <v>-7.7552640000000004</v>
      </c>
      <c r="L27">
        <f>G27+I27</f>
        <v>37.914624000000003</v>
      </c>
      <c r="M27">
        <f>H27+J27</f>
        <v>-42.223104000000006</v>
      </c>
    </row>
    <row r="30" spans="1:13">
      <c r="B30">
        <f>TAN($B$8*6.28/360)</f>
        <v>0.2678069474078098</v>
      </c>
      <c r="C30">
        <f>B30*F8</f>
        <v>0.80342084222342947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C503-ABDA-4895-82E4-84650588D8A5}">
  <dimension ref="A1:O45"/>
  <sheetViews>
    <sheetView workbookViewId="0">
      <selection activeCell="A2" sqref="A2"/>
    </sheetView>
  </sheetViews>
  <sheetFormatPr defaultRowHeight="14.25"/>
  <cols>
    <col min="1" max="1" width="18.625" customWidth="1"/>
    <col min="2" max="2" width="33.75" customWidth="1"/>
    <col min="7" max="7" width="12.875" customWidth="1"/>
  </cols>
  <sheetData>
    <row r="1" spans="1:15" s="1" customFormat="1" ht="15">
      <c r="A1" s="1" t="s">
        <v>145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>
      <c r="A4" s="13" t="s">
        <v>134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8.1424555792624798</v>
      </c>
      <c r="I4" t="s">
        <v>1</v>
      </c>
      <c r="K4" t="s">
        <v>77</v>
      </c>
      <c r="L4" s="5">
        <v>0.91</v>
      </c>
      <c r="N4">
        <v>0.85</v>
      </c>
      <c r="O4" t="s">
        <v>91</v>
      </c>
    </row>
    <row r="5" spans="1:15" ht="15" thickBot="1">
      <c r="A5" t="s">
        <v>135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0.91</v>
      </c>
      <c r="O5" t="s">
        <v>105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44.553600000000003</v>
      </c>
      <c r="M6" t="s">
        <v>41</v>
      </c>
      <c r="N6">
        <v>0.96</v>
      </c>
      <c r="O6" t="s">
        <v>92</v>
      </c>
    </row>
    <row r="7" spans="1:15" ht="15" thickBot="1">
      <c r="A7" s="12" t="s">
        <v>58</v>
      </c>
      <c r="B7" s="12">
        <f>$B$6+TAN($B$8 * 6.28 / 360)*$B$4/2</f>
        <v>20.356138948156197</v>
      </c>
      <c r="C7" s="12" t="s">
        <v>1</v>
      </c>
      <c r="G7">
        <v>3</v>
      </c>
      <c r="H7">
        <v>3</v>
      </c>
      <c r="I7" t="s">
        <v>1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</row>
    <row r="9" spans="1:15">
      <c r="A9" t="s">
        <v>52</v>
      </c>
      <c r="B9" s="5">
        <v>150</v>
      </c>
      <c r="C9" t="s">
        <v>53</v>
      </c>
      <c r="E9" s="15" t="s">
        <v>144</v>
      </c>
      <c r="F9">
        <f>B7/B4</f>
        <v>0.50890347370390487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 ht="15">
      <c r="A12" s="1" t="s">
        <v>132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s="16">
        <v>3</v>
      </c>
      <c r="B13" t="s">
        <v>101</v>
      </c>
      <c r="C13">
        <f>F8*F8</f>
        <v>16</v>
      </c>
      <c r="E13">
        <v>0.65</v>
      </c>
      <c r="F13">
        <v>-1.7</v>
      </c>
      <c r="G13">
        <f>$L$6*E13</f>
        <v>28.959840000000003</v>
      </c>
      <c r="H13">
        <f>$L$6*F13</f>
        <v>-75.741120000000009</v>
      </c>
      <c r="I13">
        <f>$L$6*$L$2</f>
        <v>8.0196480000000001</v>
      </c>
      <c r="J13">
        <f>-$L$6*$L$2</f>
        <v>-8.0196480000000001</v>
      </c>
      <c r="L13">
        <f>G13+I13</f>
        <v>36.979488000000003</v>
      </c>
      <c r="M13">
        <f>H13+J13</f>
        <v>-83.760768000000013</v>
      </c>
    </row>
    <row r="14" spans="1:15">
      <c r="A14" s="16" t="s">
        <v>118</v>
      </c>
      <c r="B14" t="s">
        <v>103</v>
      </c>
      <c r="C14">
        <f>(B5-2*F8)*F8</f>
        <v>208</v>
      </c>
      <c r="E14">
        <v>0.3</v>
      </c>
      <c r="F14">
        <v>-1.1000000000000001</v>
      </c>
      <c r="G14">
        <f t="shared" ref="G14:H33" si="0">$L$6*E14</f>
        <v>13.36608</v>
      </c>
      <c r="H14">
        <f t="shared" si="0"/>
        <v>-49.008960000000009</v>
      </c>
      <c r="I14">
        <f t="shared" ref="I14:I33" si="1">$L$6*$L$2</f>
        <v>8.0196480000000001</v>
      </c>
      <c r="J14">
        <f t="shared" ref="J14:J33" si="2">-$L$6*$L$2</f>
        <v>-8.0196480000000001</v>
      </c>
      <c r="L14">
        <f t="shared" ref="L14:M33" si="3">G14+I14</f>
        <v>21.385728</v>
      </c>
      <c r="M14">
        <f t="shared" si="3"/>
        <v>-57.028608000000006</v>
      </c>
    </row>
    <row r="15" spans="1:15">
      <c r="A15" s="16" t="s">
        <v>120</v>
      </c>
      <c r="B15" t="s">
        <v>130</v>
      </c>
      <c r="C15">
        <f>C27-C13-C14-C16</f>
        <v>231.74399999999997</v>
      </c>
      <c r="E15">
        <v>0.3</v>
      </c>
      <c r="F15">
        <v>-1.3</v>
      </c>
      <c r="G15">
        <f t="shared" si="0"/>
        <v>13.36608</v>
      </c>
      <c r="H15">
        <f t="shared" si="0"/>
        <v>-57.919680000000007</v>
      </c>
      <c r="I15">
        <f t="shared" si="1"/>
        <v>8.0196480000000001</v>
      </c>
      <c r="J15">
        <f t="shared" si="2"/>
        <v>-8.0196480000000001</v>
      </c>
      <c r="L15">
        <f t="shared" si="3"/>
        <v>21.385728</v>
      </c>
      <c r="M15">
        <f t="shared" si="3"/>
        <v>-65.939328000000003</v>
      </c>
    </row>
    <row r="16" spans="1:15">
      <c r="A16" s="17" t="s">
        <v>122</v>
      </c>
      <c r="B16" s="14" t="s">
        <v>129</v>
      </c>
      <c r="C16" s="14">
        <f>0.5*((B5-2*C29-2*F8)+(B5-2*F8-2*C29-2*C30))*C30</f>
        <v>344.25600000000003</v>
      </c>
      <c r="E16">
        <v>0.3</v>
      </c>
      <c r="F16">
        <v>-1</v>
      </c>
      <c r="G16">
        <f t="shared" si="0"/>
        <v>13.36608</v>
      </c>
      <c r="H16">
        <f t="shared" si="0"/>
        <v>-44.553600000000003</v>
      </c>
      <c r="I16">
        <f t="shared" si="1"/>
        <v>8.0196480000000001</v>
      </c>
      <c r="J16">
        <f t="shared" si="2"/>
        <v>-8.0196480000000001</v>
      </c>
      <c r="L16">
        <f t="shared" si="3"/>
        <v>21.385728</v>
      </c>
      <c r="M16">
        <f t="shared" si="3"/>
        <v>-52.573248000000007</v>
      </c>
    </row>
    <row r="17" spans="1:13">
      <c r="B17" t="s">
        <v>142</v>
      </c>
      <c r="C17">
        <f>2*SUM(C13:C16)</f>
        <v>1600</v>
      </c>
    </row>
    <row r="19" spans="1:13" ht="15">
      <c r="A19" s="1" t="s">
        <v>133</v>
      </c>
    </row>
    <row r="20" spans="1:13">
      <c r="A20" s="16">
        <v>3</v>
      </c>
      <c r="B20" t="s">
        <v>101</v>
      </c>
      <c r="C20">
        <f>F8*F8</f>
        <v>16</v>
      </c>
      <c r="E20">
        <v>0.65</v>
      </c>
      <c r="F20">
        <v>-1.7</v>
      </c>
      <c r="G20">
        <f t="shared" ref="G17:G20" si="4">$L$6*E20</f>
        <v>28.959840000000003</v>
      </c>
      <c r="H20">
        <f t="shared" ref="H17:H20" si="5">$L$6*F20</f>
        <v>-75.741120000000009</v>
      </c>
      <c r="I20">
        <f t="shared" si="1"/>
        <v>8.0196480000000001</v>
      </c>
      <c r="J20">
        <f t="shared" si="2"/>
        <v>-8.0196480000000001</v>
      </c>
      <c r="L20">
        <f t="shared" ref="L17:L20" si="6">G20+I20</f>
        <v>36.979488000000003</v>
      </c>
      <c r="M20">
        <f t="shared" ref="M17:M20" si="7">H20+J20</f>
        <v>-83.760768000000013</v>
      </c>
    </row>
    <row r="21" spans="1:13">
      <c r="A21" s="16" t="s">
        <v>117</v>
      </c>
      <c r="B21" t="s">
        <v>119</v>
      </c>
      <c r="C21">
        <f>(B4-2*$F$8)*$F$8</f>
        <v>128</v>
      </c>
      <c r="E21">
        <v>0.3</v>
      </c>
      <c r="F21">
        <v>-1.23</v>
      </c>
      <c r="G21">
        <f t="shared" ref="G21:G23" si="8">$L$6*E21</f>
        <v>13.36608</v>
      </c>
      <c r="H21">
        <f t="shared" ref="H21:H23" si="9">$L$6*F21</f>
        <v>-54.800928000000006</v>
      </c>
      <c r="I21">
        <f t="shared" si="1"/>
        <v>8.0196480000000001</v>
      </c>
      <c r="J21">
        <f t="shared" si="2"/>
        <v>-8.0196480000000001</v>
      </c>
      <c r="L21">
        <f t="shared" ref="L21:L23" si="10">G21+I21</f>
        <v>21.385728</v>
      </c>
      <c r="M21">
        <f t="shared" ref="M21:M23" si="11">H21+J21</f>
        <v>-62.820576000000003</v>
      </c>
    </row>
    <row r="22" spans="1:13">
      <c r="A22" s="16" t="s">
        <v>121</v>
      </c>
      <c r="B22" t="s">
        <v>141</v>
      </c>
      <c r="C22">
        <f>C28-C20-C21-C23</f>
        <v>149.00166399999998</v>
      </c>
      <c r="E22">
        <v>0.3</v>
      </c>
      <c r="F22">
        <v>-1.4</v>
      </c>
      <c r="G22">
        <f t="shared" si="8"/>
        <v>13.36608</v>
      </c>
      <c r="H22">
        <f t="shared" si="9"/>
        <v>-62.375039999999998</v>
      </c>
      <c r="I22">
        <f t="shared" si="1"/>
        <v>8.0196480000000001</v>
      </c>
      <c r="J22">
        <f t="shared" si="2"/>
        <v>-8.0196480000000001</v>
      </c>
      <c r="L22">
        <f t="shared" si="10"/>
        <v>21.385728</v>
      </c>
      <c r="M22">
        <f t="shared" si="11"/>
        <v>-70.394688000000002</v>
      </c>
    </row>
    <row r="23" spans="1:13">
      <c r="A23" s="17" t="s">
        <v>136</v>
      </c>
      <c r="B23" s="14" t="s">
        <v>140</v>
      </c>
      <c r="C23" s="14">
        <f>0.5*(B4-2*F8-2*C29)*C31</f>
        <v>106.99833600000002</v>
      </c>
      <c r="E23">
        <v>0.3</v>
      </c>
      <c r="F23">
        <v>-1</v>
      </c>
      <c r="G23">
        <f t="shared" si="8"/>
        <v>13.36608</v>
      </c>
      <c r="H23">
        <f t="shared" si="9"/>
        <v>-44.553600000000003</v>
      </c>
      <c r="I23">
        <f t="shared" si="1"/>
        <v>8.0196480000000001</v>
      </c>
      <c r="J23">
        <f t="shared" si="2"/>
        <v>-8.0196480000000001</v>
      </c>
      <c r="L23">
        <f t="shared" si="10"/>
        <v>21.385728</v>
      </c>
      <c r="M23">
        <f t="shared" si="11"/>
        <v>-52.573248000000007</v>
      </c>
    </row>
    <row r="24" spans="1:13">
      <c r="B24" t="s">
        <v>142</v>
      </c>
      <c r="C24">
        <f>2*SUM(C20:C23)</f>
        <v>800</v>
      </c>
    </row>
    <row r="25" spans="1:13" ht="15">
      <c r="B25" s="1" t="s">
        <v>143</v>
      </c>
      <c r="C25" s="1">
        <f>C17+C24</f>
        <v>2400</v>
      </c>
      <c r="D25" s="1" t="str">
        <f>IF(C25=B4*B5,"OK","N.G.")</f>
        <v>OK</v>
      </c>
    </row>
    <row r="27" spans="1:13">
      <c r="A27" t="s">
        <v>128</v>
      </c>
      <c r="B27" t="s">
        <v>123</v>
      </c>
      <c r="C27">
        <f>0.5*(2*B5-B4)*0.5*B4</f>
        <v>800</v>
      </c>
    </row>
    <row r="28" spans="1:13">
      <c r="A28" t="s">
        <v>138</v>
      </c>
      <c r="B28" t="s">
        <v>139</v>
      </c>
      <c r="C28">
        <f>0.5*B4*0.5*B4</f>
        <v>400</v>
      </c>
    </row>
    <row r="29" spans="1:13">
      <c r="A29" t="s">
        <v>124</v>
      </c>
      <c r="B29" t="s">
        <v>125</v>
      </c>
      <c r="C29">
        <f>1.414*F8</f>
        <v>5.6559999999999997</v>
      </c>
    </row>
    <row r="30" spans="1:13">
      <c r="A30" t="s">
        <v>126</v>
      </c>
      <c r="B30" t="s">
        <v>127</v>
      </c>
      <c r="C30">
        <f>B4/2-2*F8</f>
        <v>12</v>
      </c>
    </row>
    <row r="31" spans="1:13">
      <c r="A31" t="s">
        <v>131</v>
      </c>
      <c r="B31" t="s">
        <v>137</v>
      </c>
      <c r="C31">
        <f>0.5*B4-C29-F8</f>
        <v>10.344000000000001</v>
      </c>
    </row>
    <row r="34" spans="1:13" ht="15">
      <c r="C34" s="1"/>
    </row>
    <row r="36" spans="1:13" ht="15">
      <c r="A36" s="1" t="s">
        <v>107</v>
      </c>
    </row>
    <row r="37" spans="1:13">
      <c r="A37">
        <v>5</v>
      </c>
      <c r="B37" t="s">
        <v>65</v>
      </c>
      <c r="C37">
        <f>F8*B6</f>
        <v>60</v>
      </c>
      <c r="E37">
        <v>0.83</v>
      </c>
      <c r="F37">
        <v>-1.1299999999999999</v>
      </c>
      <c r="G37">
        <f>$L$6*E37</f>
        <v>36.979488000000003</v>
      </c>
      <c r="H37">
        <f>$L$6*F37</f>
        <v>-50.345568</v>
      </c>
      <c r="I37">
        <f t="shared" ref="I37:I39" si="12">$L$6*$L$2</f>
        <v>8.0196480000000001</v>
      </c>
      <c r="J37">
        <f t="shared" ref="J37:J39" si="13">-$L$6*$L$2</f>
        <v>-8.0196480000000001</v>
      </c>
      <c r="L37">
        <f>G37+I37</f>
        <v>44.999136000000007</v>
      </c>
      <c r="M37">
        <f>H37+J37</f>
        <v>-58.365216000000004</v>
      </c>
    </row>
    <row r="38" spans="1:13">
      <c r="A38">
        <v>4</v>
      </c>
      <c r="B38" t="s">
        <v>74</v>
      </c>
      <c r="C38">
        <f>($B$5-2*$F$8)*($B$6)</f>
        <v>780</v>
      </c>
      <c r="E38">
        <v>0.71</v>
      </c>
      <c r="F38">
        <v>-0.8</v>
      </c>
      <c r="G38">
        <f>$L$6*E38</f>
        <v>31.633056</v>
      </c>
      <c r="H38">
        <f>$L$6*F38</f>
        <v>-35.642880000000005</v>
      </c>
      <c r="I38">
        <f t="shared" si="12"/>
        <v>8.0196480000000001</v>
      </c>
      <c r="J38">
        <f t="shared" si="13"/>
        <v>-8.0196480000000001</v>
      </c>
      <c r="L38">
        <f>G38+I38</f>
        <v>39.652704</v>
      </c>
      <c r="M38">
        <f>H38+J38</f>
        <v>-43.662528000000009</v>
      </c>
    </row>
    <row r="40" spans="1:13" ht="15">
      <c r="A40" s="1" t="s">
        <v>108</v>
      </c>
    </row>
    <row r="41" spans="1:13">
      <c r="A41">
        <v>5</v>
      </c>
      <c r="B41" t="s">
        <v>65</v>
      </c>
      <c r="C41">
        <f>F8*B6</f>
        <v>60</v>
      </c>
      <c r="E41">
        <v>0.83</v>
      </c>
      <c r="F41">
        <v>-1.1299999999999999</v>
      </c>
      <c r="G41">
        <f>$L$6*E41</f>
        <v>36.979488000000003</v>
      </c>
      <c r="H41">
        <f>$L$6*F41</f>
        <v>-50.345568</v>
      </c>
      <c r="I41">
        <f t="shared" ref="I41:I43" si="14">$L$6*$L$2</f>
        <v>8.0196480000000001</v>
      </c>
      <c r="J41">
        <f t="shared" ref="J41:J43" si="15">-$L$6*$L$2</f>
        <v>-8.0196480000000001</v>
      </c>
      <c r="L41">
        <f>G41+I41</f>
        <v>44.999136000000007</v>
      </c>
      <c r="M41">
        <f>H41+J41</f>
        <v>-58.365216000000004</v>
      </c>
    </row>
    <row r="42" spans="1:13">
      <c r="A42">
        <v>4</v>
      </c>
      <c r="B42" t="s">
        <v>67</v>
      </c>
      <c r="C42">
        <f>(B4-2*F8)*B6</f>
        <v>480</v>
      </c>
      <c r="E42">
        <v>0.7</v>
      </c>
      <c r="F42">
        <v>-0.8</v>
      </c>
      <c r="G42">
        <f>$L$6*E42</f>
        <v>31.187519999999999</v>
      </c>
      <c r="H42">
        <f>$L$6*F42</f>
        <v>-35.642880000000005</v>
      </c>
      <c r="I42">
        <f t="shared" si="14"/>
        <v>8.0196480000000001</v>
      </c>
      <c r="J42">
        <f t="shared" si="15"/>
        <v>-8.0196480000000001</v>
      </c>
      <c r="L42">
        <f>G42+I42</f>
        <v>39.207167999999996</v>
      </c>
      <c r="M42">
        <f>H42+J42</f>
        <v>-43.662528000000009</v>
      </c>
    </row>
    <row r="45" spans="1:13">
      <c r="B45">
        <f>TAN($B$8*6.28/360)</f>
        <v>0.2678069474078098</v>
      </c>
      <c r="C45">
        <f>B45*F8</f>
        <v>1.0712277896312392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"/>
  <sheetViews>
    <sheetView workbookViewId="0">
      <selection activeCell="C16" sqref="A2:C16"/>
    </sheetView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ASCE7-16 ExpC</vt:lpstr>
      <vt:lpstr>ASCE7-22 ExpC</vt:lpstr>
      <vt:lpstr>40x60 FLAT ASCE7-16</vt:lpstr>
      <vt:lpstr>40x60 GABLE ASCE7-16</vt:lpstr>
      <vt:lpstr>40x60 HIP ASCE7-16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2025-07-23T22:27:41Z</dcterms:modified>
</cp:coreProperties>
</file>