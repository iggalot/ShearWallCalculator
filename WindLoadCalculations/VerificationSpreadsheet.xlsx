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ShearWallCalculator\WindLoadCalculations\"/>
    </mc:Choice>
  </mc:AlternateContent>
  <xr:revisionPtr revIDLastSave="0" documentId="13_ncr:1_{59B33496-9F31-4AB5-B4E6-3461C9254E17}" xr6:coauthVersionLast="47" xr6:coauthVersionMax="47" xr10:uidLastSave="{00000000-0000-0000-0000-000000000000}"/>
  <bookViews>
    <workbookView xWindow="-27060" yWindow="810" windowWidth="26460" windowHeight="14130" activeTab="1" xr2:uid="{7D93B743-C6BA-493F-B145-C673A908EA6D}"/>
  </bookViews>
  <sheets>
    <sheet name="Exposure C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M22" i="2"/>
  <c r="M19" i="2"/>
  <c r="M18" i="2"/>
  <c r="M12" i="2"/>
  <c r="M13" i="2"/>
  <c r="M14" i="2"/>
  <c r="M11" i="2"/>
  <c r="L23" i="2"/>
  <c r="L22" i="2"/>
  <c r="L18" i="2"/>
  <c r="L19" i="2"/>
  <c r="L12" i="2"/>
  <c r="L13" i="2"/>
  <c r="J23" i="2"/>
  <c r="I23" i="2"/>
  <c r="H23" i="2"/>
  <c r="G23" i="2"/>
  <c r="J22" i="2"/>
  <c r="I22" i="2"/>
  <c r="H22" i="2"/>
  <c r="G22" i="2"/>
  <c r="J19" i="2"/>
  <c r="I19" i="2"/>
  <c r="H19" i="2"/>
  <c r="G19" i="2"/>
  <c r="J18" i="2"/>
  <c r="I18" i="2"/>
  <c r="H18" i="2"/>
  <c r="G18" i="2"/>
  <c r="I12" i="2"/>
  <c r="J12" i="2"/>
  <c r="I13" i="2"/>
  <c r="J13" i="2"/>
  <c r="I14" i="2"/>
  <c r="J14" i="2"/>
  <c r="J11" i="2"/>
  <c r="I11" i="2"/>
  <c r="H12" i="2"/>
  <c r="H13" i="2"/>
  <c r="H14" i="2"/>
  <c r="H11" i="2"/>
  <c r="G12" i="2"/>
  <c r="G13" i="2"/>
  <c r="G14" i="2"/>
  <c r="L14" i="2" s="1"/>
  <c r="G11" i="2"/>
  <c r="L11" i="2" s="1"/>
  <c r="L5" i="2"/>
  <c r="C23" i="2"/>
  <c r="C22" i="2"/>
  <c r="C14" i="2"/>
  <c r="C11" i="2"/>
  <c r="C12" i="2" s="1"/>
  <c r="H5" i="2"/>
  <c r="F5" i="2" s="1"/>
  <c r="H3" i="2"/>
  <c r="H4" i="2"/>
  <c r="C13" i="2" l="1"/>
  <c r="C15" i="2" s="1"/>
  <c r="D15" i="2" s="1"/>
  <c r="F3" i="2"/>
  <c r="F7" i="2" s="1"/>
  <c r="C18" i="2" l="1"/>
  <c r="C19" i="2"/>
</calcChain>
</file>

<file path=xl/sharedStrings.xml><?xml version="1.0" encoding="utf-8"?>
<sst xmlns="http://schemas.openxmlformats.org/spreadsheetml/2006/main" count="178" uniqueCount="92">
  <si>
    <t>TDI Data Values</t>
  </si>
  <si>
    <t>ft</t>
  </si>
  <si>
    <t>Width, B</t>
  </si>
  <si>
    <t>Length, L</t>
  </si>
  <si>
    <t>RoofPitch</t>
  </si>
  <si>
    <t>Zone 1 +</t>
  </si>
  <si>
    <t>Zone 1 -</t>
  </si>
  <si>
    <t>Zone 2 +</t>
  </si>
  <si>
    <t>Zone 2 -</t>
  </si>
  <si>
    <t>ASCE7-16</t>
  </si>
  <si>
    <t>Zone 3+</t>
  </si>
  <si>
    <t>Zone 3-</t>
  </si>
  <si>
    <t>Zone 4+</t>
  </si>
  <si>
    <t xml:space="preserve">Zone 4 - </t>
  </si>
  <si>
    <t>Zone 5+</t>
  </si>
  <si>
    <t>Zone 5 -</t>
  </si>
  <si>
    <t>RoofStyle</t>
  </si>
  <si>
    <t>a (ft)</t>
  </si>
  <si>
    <t>CritDim</t>
  </si>
  <si>
    <t>FLAT</t>
  </si>
  <si>
    <t>Zone 1_prime+</t>
  </si>
  <si>
    <t>Zone 1_prime -</t>
  </si>
  <si>
    <t>GABLE</t>
  </si>
  <si>
    <t>HIP</t>
  </si>
  <si>
    <t>MAX NET PRESSURES (PSF) -- includes +/- qh * GCp_i</t>
  </si>
  <si>
    <t>qh</t>
  </si>
  <si>
    <t>V = 150 MPH</t>
  </si>
  <si>
    <t>Exposure C</t>
  </si>
  <si>
    <t>Zone 2n +</t>
  </si>
  <si>
    <t>Zone 2n -</t>
  </si>
  <si>
    <t>Zone 2r +</t>
  </si>
  <si>
    <t>Zone 2r -</t>
  </si>
  <si>
    <t>Flat Roof Zones</t>
  </si>
  <si>
    <t>Zone 2e +</t>
  </si>
  <si>
    <t>Zone 2e -</t>
  </si>
  <si>
    <t>Wall Zones</t>
  </si>
  <si>
    <t>Hip Roof Zones</t>
  </si>
  <si>
    <t>Gable Roof Zones</t>
  </si>
  <si>
    <t xml:space="preserve">Kzt = 1.0  I=1.0  </t>
  </si>
  <si>
    <t>Enclosed Buildings</t>
  </si>
  <si>
    <t>psf</t>
  </si>
  <si>
    <t>n/a</t>
  </si>
  <si>
    <t>deg</t>
  </si>
  <si>
    <t>WallHeight</t>
  </si>
  <si>
    <t>MeanRoofHt</t>
  </si>
  <si>
    <t>h (ft)</t>
  </si>
  <si>
    <t>Zone 3 +</t>
  </si>
  <si>
    <t>Zone 3 -</t>
  </si>
  <si>
    <t>L</t>
  </si>
  <si>
    <t>B</t>
  </si>
  <si>
    <t>H</t>
  </si>
  <si>
    <t xml:space="preserve">V </t>
  </si>
  <si>
    <t>mph</t>
  </si>
  <si>
    <t>Zone</t>
  </si>
  <si>
    <t>1_prime</t>
  </si>
  <si>
    <t>a =</t>
  </si>
  <si>
    <t>0.4H</t>
  </si>
  <si>
    <t>h</t>
  </si>
  <si>
    <t>0.1*min(L,B)</t>
  </si>
  <si>
    <t>"a" calcs</t>
  </si>
  <si>
    <t>a_min</t>
  </si>
  <si>
    <t>0.04*min(L,B)</t>
  </si>
  <si>
    <t>C&amp;C area calcs</t>
  </si>
  <si>
    <t>ENCLOSED</t>
  </si>
  <si>
    <t>aH</t>
  </si>
  <si>
    <t>Area</t>
  </si>
  <si>
    <t>(B-2a)H</t>
  </si>
  <si>
    <t>0.2*h^2</t>
  </si>
  <si>
    <t>(L-2.4*h)*(B-2.4*h)</t>
  </si>
  <si>
    <t>(L-1.2*h)*(B-1.2*h)-A1_prime</t>
  </si>
  <si>
    <t>B*L-A1_prime-A1-4*A3</t>
  </si>
  <si>
    <t>TOTAL</t>
  </si>
  <si>
    <t>ROOF</t>
  </si>
  <si>
    <t>END WALL</t>
  </si>
  <si>
    <t>SIDE WALL</t>
  </si>
  <si>
    <t>(L-2a)H</t>
  </si>
  <si>
    <t>GCp+</t>
  </si>
  <si>
    <t>GCp-</t>
  </si>
  <si>
    <t>Kz</t>
  </si>
  <si>
    <t>h = 15'</t>
  </si>
  <si>
    <t>qh =</t>
  </si>
  <si>
    <t>Kd</t>
  </si>
  <si>
    <t>External</t>
  </si>
  <si>
    <t>Internal</t>
  </si>
  <si>
    <t>Internal -</t>
  </si>
  <si>
    <t>qh*Gcpi</t>
  </si>
  <si>
    <t>p+ = qh*GCp+</t>
  </si>
  <si>
    <t>p- = qh*GCp-</t>
  </si>
  <si>
    <t>Gcpi</t>
  </si>
  <si>
    <t>-qh*Gcpi</t>
  </si>
  <si>
    <t>Net Max +</t>
  </si>
  <si>
    <t>Net Max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</si>
</sst>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5135-BEB2-4F94-BA52-74AFC5FDF7DD}">
  <dimension ref="A1:AO72"/>
  <sheetViews>
    <sheetView workbookViewId="0">
      <selection activeCell="H10" sqref="H10:Q12"/>
    </sheetView>
  </sheetViews>
  <sheetFormatPr defaultRowHeight="14.25"/>
  <cols>
    <col min="3" max="3" width="13" bestFit="1" customWidth="1"/>
    <col min="11" max="11" width="13.25" bestFit="1" customWidth="1"/>
  </cols>
  <sheetData>
    <row r="1" spans="1:41" s="2" customFormat="1" ht="20.25">
      <c r="A1" s="2" t="s">
        <v>0</v>
      </c>
    </row>
    <row r="2" spans="1:41" ht="15">
      <c r="A2" t="s">
        <v>26</v>
      </c>
      <c r="J2" s="1" t="s">
        <v>9</v>
      </c>
    </row>
    <row r="3" spans="1:41">
      <c r="A3" t="s">
        <v>27</v>
      </c>
    </row>
    <row r="4" spans="1:41">
      <c r="A4" t="s">
        <v>38</v>
      </c>
    </row>
    <row r="5" spans="1:41">
      <c r="A5" t="s">
        <v>39</v>
      </c>
    </row>
    <row r="7" spans="1:41" ht="15">
      <c r="M7" s="1" t="s">
        <v>24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41">
      <c r="A8" t="s">
        <v>2</v>
      </c>
      <c r="B8" t="s">
        <v>3</v>
      </c>
      <c r="C8" t="s">
        <v>43</v>
      </c>
      <c r="D8" t="s">
        <v>4</v>
      </c>
      <c r="E8" t="s">
        <v>16</v>
      </c>
      <c r="G8" t="s">
        <v>44</v>
      </c>
      <c r="H8" t="s">
        <v>25</v>
      </c>
      <c r="I8" t="s">
        <v>18</v>
      </c>
      <c r="L8" t="s">
        <v>32</v>
      </c>
      <c r="W8" t="s">
        <v>36</v>
      </c>
      <c r="AG8" t="s">
        <v>37</v>
      </c>
      <c r="AM8" t="s">
        <v>35</v>
      </c>
    </row>
    <row r="9" spans="1:41">
      <c r="A9" t="s">
        <v>1</v>
      </c>
      <c r="B9" t="s">
        <v>1</v>
      </c>
      <c r="C9" t="s">
        <v>1</v>
      </c>
      <c r="D9" t="s">
        <v>42</v>
      </c>
      <c r="G9" t="s">
        <v>45</v>
      </c>
      <c r="H9" t="s">
        <v>40</v>
      </c>
      <c r="I9" t="s">
        <v>17</v>
      </c>
      <c r="J9" t="s">
        <v>20</v>
      </c>
      <c r="K9" t="s">
        <v>21</v>
      </c>
      <c r="L9" t="s">
        <v>5</v>
      </c>
      <c r="M9" t="s">
        <v>6</v>
      </c>
      <c r="N9" t="s">
        <v>7</v>
      </c>
      <c r="O9" t="s">
        <v>8</v>
      </c>
      <c r="P9" t="s">
        <v>10</v>
      </c>
      <c r="Q9" t="s">
        <v>11</v>
      </c>
      <c r="T9" t="s">
        <v>5</v>
      </c>
      <c r="U9" t="s">
        <v>6</v>
      </c>
      <c r="V9" t="s">
        <v>28</v>
      </c>
      <c r="W9" t="s">
        <v>29</v>
      </c>
      <c r="X9" t="s">
        <v>30</v>
      </c>
      <c r="Y9" t="s">
        <v>31</v>
      </c>
      <c r="Z9" t="s">
        <v>33</v>
      </c>
      <c r="AA9" t="s">
        <v>34</v>
      </c>
      <c r="AB9" t="s">
        <v>46</v>
      </c>
      <c r="AC9" t="s">
        <v>47</v>
      </c>
      <c r="AE9" t="s">
        <v>5</v>
      </c>
      <c r="AF9" t="s">
        <v>6</v>
      </c>
      <c r="AG9" t="s">
        <v>7</v>
      </c>
      <c r="AH9" t="s">
        <v>8</v>
      </c>
      <c r="AI9" t="s">
        <v>10</v>
      </c>
      <c r="AJ9" t="s">
        <v>11</v>
      </c>
      <c r="AL9" t="s">
        <v>12</v>
      </c>
      <c r="AM9" t="s">
        <v>13</v>
      </c>
      <c r="AN9" t="s">
        <v>14</v>
      </c>
      <c r="AO9" t="s">
        <v>15</v>
      </c>
    </row>
    <row r="10" spans="1:41">
      <c r="A10">
        <v>40</v>
      </c>
      <c r="B10">
        <v>60</v>
      </c>
      <c r="C10">
        <v>15</v>
      </c>
      <c r="D10">
        <v>0</v>
      </c>
      <c r="E10" t="s">
        <v>19</v>
      </c>
      <c r="G10">
        <v>15</v>
      </c>
      <c r="H10">
        <v>41.6</v>
      </c>
      <c r="J10">
        <v>16</v>
      </c>
      <c r="K10">
        <v>-44.9</v>
      </c>
      <c r="L10">
        <v>15.8</v>
      </c>
      <c r="M10">
        <v>-49</v>
      </c>
      <c r="N10">
        <v>15.8</v>
      </c>
      <c r="O10">
        <v>-65.7</v>
      </c>
      <c r="P10">
        <v>18.3</v>
      </c>
      <c r="Q10">
        <v>-135.1</v>
      </c>
    </row>
    <row r="11" spans="1:41">
      <c r="A11">
        <v>40</v>
      </c>
      <c r="B11">
        <v>60</v>
      </c>
      <c r="C11">
        <v>30</v>
      </c>
      <c r="D11">
        <v>0</v>
      </c>
      <c r="E11" t="s">
        <v>19</v>
      </c>
      <c r="G11">
        <v>30</v>
      </c>
      <c r="H11">
        <v>48.1</v>
      </c>
      <c r="J11" t="s">
        <v>41</v>
      </c>
      <c r="K11" t="s">
        <v>41</v>
      </c>
      <c r="L11">
        <v>18.5</v>
      </c>
      <c r="M11">
        <v>-84.5</v>
      </c>
      <c r="N11">
        <v>18.3</v>
      </c>
      <c r="O11">
        <v>-76</v>
      </c>
      <c r="P11">
        <v>18.3</v>
      </c>
      <c r="Q11">
        <v>-132.5</v>
      </c>
    </row>
    <row r="12" spans="1:41">
      <c r="A12">
        <v>40</v>
      </c>
      <c r="B12">
        <v>60</v>
      </c>
      <c r="C12">
        <v>45</v>
      </c>
      <c r="D12">
        <v>0</v>
      </c>
      <c r="E12" t="s">
        <v>19</v>
      </c>
      <c r="G12">
        <v>45</v>
      </c>
      <c r="H12">
        <v>52.4</v>
      </c>
      <c r="J12" t="s">
        <v>41</v>
      </c>
      <c r="K12" t="s">
        <v>41</v>
      </c>
      <c r="L12" t="s">
        <v>41</v>
      </c>
      <c r="M12" t="s">
        <v>41</v>
      </c>
      <c r="N12">
        <v>19.899999999999999</v>
      </c>
      <c r="O12">
        <v>-82.8</v>
      </c>
      <c r="P12">
        <v>19.899999999999999</v>
      </c>
      <c r="Q12">
        <v>-101</v>
      </c>
    </row>
    <row r="13" spans="1:41">
      <c r="A13">
        <v>40</v>
      </c>
      <c r="B13">
        <v>60</v>
      </c>
      <c r="C13">
        <v>15</v>
      </c>
      <c r="D13">
        <v>15</v>
      </c>
      <c r="E13" t="s">
        <v>22</v>
      </c>
    </row>
    <row r="14" spans="1:41">
      <c r="A14">
        <v>40</v>
      </c>
      <c r="B14">
        <v>60</v>
      </c>
      <c r="C14">
        <v>15</v>
      </c>
      <c r="D14">
        <v>30</v>
      </c>
      <c r="E14" t="s">
        <v>22</v>
      </c>
    </row>
    <row r="15" spans="1:41">
      <c r="A15">
        <v>40</v>
      </c>
      <c r="B15">
        <v>60</v>
      </c>
      <c r="C15">
        <v>15</v>
      </c>
      <c r="D15">
        <v>45</v>
      </c>
      <c r="E15" t="s">
        <v>22</v>
      </c>
    </row>
    <row r="16" spans="1:41">
      <c r="A16">
        <v>40</v>
      </c>
      <c r="B16">
        <v>60</v>
      </c>
      <c r="C16">
        <v>30</v>
      </c>
      <c r="D16">
        <v>15</v>
      </c>
      <c r="E16" t="s">
        <v>22</v>
      </c>
    </row>
    <row r="17" spans="1:29">
      <c r="A17">
        <v>40</v>
      </c>
      <c r="B17">
        <v>60</v>
      </c>
      <c r="C17">
        <v>30</v>
      </c>
      <c r="D17">
        <v>30</v>
      </c>
      <c r="E17" t="s">
        <v>22</v>
      </c>
    </row>
    <row r="18" spans="1:29">
      <c r="A18">
        <v>40</v>
      </c>
      <c r="B18">
        <v>60</v>
      </c>
      <c r="C18">
        <v>30</v>
      </c>
      <c r="D18">
        <v>45</v>
      </c>
      <c r="E18" t="s">
        <v>22</v>
      </c>
    </row>
    <row r="19" spans="1:29">
      <c r="A19">
        <v>40</v>
      </c>
      <c r="B19">
        <v>60</v>
      </c>
      <c r="C19">
        <v>45</v>
      </c>
      <c r="D19">
        <v>15</v>
      </c>
      <c r="E19" t="s">
        <v>22</v>
      </c>
    </row>
    <row r="20" spans="1:29">
      <c r="A20">
        <v>40</v>
      </c>
      <c r="B20">
        <v>60</v>
      </c>
      <c r="C20">
        <v>45</v>
      </c>
      <c r="D20">
        <v>30</v>
      </c>
      <c r="E20" t="s">
        <v>22</v>
      </c>
    </row>
    <row r="21" spans="1:29">
      <c r="A21">
        <v>40</v>
      </c>
      <c r="B21">
        <v>60</v>
      </c>
      <c r="C21">
        <v>45</v>
      </c>
      <c r="D21">
        <v>45</v>
      </c>
      <c r="E21" t="s">
        <v>22</v>
      </c>
    </row>
    <row r="22" spans="1:29">
      <c r="A22">
        <v>40</v>
      </c>
      <c r="B22">
        <v>60</v>
      </c>
      <c r="C22">
        <v>15</v>
      </c>
      <c r="D22">
        <v>15</v>
      </c>
      <c r="E22" t="s">
        <v>23</v>
      </c>
      <c r="G22">
        <v>23</v>
      </c>
      <c r="H22">
        <v>45.5</v>
      </c>
      <c r="I22">
        <v>4</v>
      </c>
      <c r="T22">
        <v>21.8</v>
      </c>
      <c r="U22">
        <v>-53.7</v>
      </c>
      <c r="X22">
        <v>21.8</v>
      </c>
      <c r="Y22">
        <v>-80.8</v>
      </c>
      <c r="Z22">
        <v>21.8</v>
      </c>
      <c r="AA22">
        <v>-75.900000000000006</v>
      </c>
      <c r="AB22">
        <v>38.799999999999997</v>
      </c>
      <c r="AC22">
        <v>-98.1</v>
      </c>
    </row>
    <row r="23" spans="1:29">
      <c r="A23">
        <v>40</v>
      </c>
      <c r="B23">
        <v>60</v>
      </c>
      <c r="C23">
        <v>15</v>
      </c>
      <c r="D23">
        <v>30</v>
      </c>
      <c r="E23" t="s">
        <v>23</v>
      </c>
      <c r="G23">
        <v>32.299999999999997</v>
      </c>
      <c r="H23">
        <v>48.9</v>
      </c>
      <c r="I23">
        <v>4</v>
      </c>
      <c r="T23">
        <v>23.4</v>
      </c>
      <c r="U23">
        <v>-50.4</v>
      </c>
      <c r="X23">
        <v>23.4</v>
      </c>
      <c r="Y23">
        <v>-57.6</v>
      </c>
      <c r="Z23">
        <v>23.4</v>
      </c>
      <c r="AA23">
        <v>-47.9</v>
      </c>
      <c r="AB23">
        <v>48.8</v>
      </c>
      <c r="AC23">
        <v>-153.6</v>
      </c>
    </row>
    <row r="24" spans="1:29">
      <c r="A24">
        <v>40</v>
      </c>
      <c r="B24">
        <v>60</v>
      </c>
      <c r="C24">
        <v>15</v>
      </c>
      <c r="D24">
        <v>45</v>
      </c>
      <c r="E24" t="s">
        <v>23</v>
      </c>
    </row>
    <row r="25" spans="1:29">
      <c r="A25">
        <v>40</v>
      </c>
      <c r="B25">
        <v>60</v>
      </c>
      <c r="C25">
        <v>30</v>
      </c>
      <c r="D25">
        <v>15</v>
      </c>
      <c r="E25" t="s">
        <v>23</v>
      </c>
      <c r="G25">
        <v>38</v>
      </c>
      <c r="H25">
        <v>50.6</v>
      </c>
      <c r="I25">
        <v>4</v>
      </c>
      <c r="T25">
        <v>24.3</v>
      </c>
      <c r="U25">
        <v>-59.7</v>
      </c>
      <c r="X25">
        <v>24.3</v>
      </c>
      <c r="Y25">
        <v>-89.7</v>
      </c>
      <c r="Z25">
        <v>24.3</v>
      </c>
      <c r="AA25">
        <v>-79.900000000000006</v>
      </c>
      <c r="AB25">
        <v>43.1</v>
      </c>
      <c r="AC25">
        <v>-138.6</v>
      </c>
    </row>
    <row r="26" spans="1:29">
      <c r="A26">
        <v>40</v>
      </c>
      <c r="B26">
        <v>60</v>
      </c>
      <c r="C26">
        <v>30</v>
      </c>
      <c r="D26">
        <v>30</v>
      </c>
      <c r="E26" t="s">
        <v>23</v>
      </c>
    </row>
    <row r="27" spans="1:29">
      <c r="A27">
        <v>40</v>
      </c>
      <c r="B27">
        <v>60</v>
      </c>
      <c r="C27">
        <v>30</v>
      </c>
      <c r="D27">
        <v>45</v>
      </c>
      <c r="E27" t="s">
        <v>23</v>
      </c>
    </row>
    <row r="28" spans="1:29">
      <c r="A28">
        <v>40</v>
      </c>
      <c r="B28">
        <v>60</v>
      </c>
      <c r="C28">
        <v>45</v>
      </c>
      <c r="D28">
        <v>15</v>
      </c>
      <c r="E28" t="s">
        <v>23</v>
      </c>
      <c r="G28">
        <v>53</v>
      </c>
      <c r="H28">
        <v>54.2</v>
      </c>
      <c r="I28">
        <v>4</v>
      </c>
      <c r="T28">
        <v>26</v>
      </c>
      <c r="U28">
        <v>-64</v>
      </c>
      <c r="X28">
        <v>26</v>
      </c>
      <c r="Y28">
        <v>-96.3</v>
      </c>
      <c r="Z28">
        <v>26</v>
      </c>
      <c r="AA28">
        <v>-110.3</v>
      </c>
      <c r="AB28">
        <v>46.3</v>
      </c>
      <c r="AC28">
        <v>-148.69999999999999</v>
      </c>
    </row>
    <row r="29" spans="1:29">
      <c r="A29">
        <v>40</v>
      </c>
      <c r="B29">
        <v>60</v>
      </c>
      <c r="C29">
        <v>45</v>
      </c>
      <c r="D29">
        <v>30</v>
      </c>
      <c r="E29" t="s">
        <v>23</v>
      </c>
    </row>
    <row r="30" spans="1:29">
      <c r="A30">
        <v>40</v>
      </c>
      <c r="B30">
        <v>60</v>
      </c>
      <c r="C30">
        <v>45</v>
      </c>
      <c r="D30">
        <v>45</v>
      </c>
      <c r="E30" t="s">
        <v>23</v>
      </c>
    </row>
    <row r="33" spans="1:5">
      <c r="A33">
        <v>50</v>
      </c>
      <c r="B33">
        <v>70</v>
      </c>
      <c r="C33">
        <v>0</v>
      </c>
      <c r="D33">
        <v>0</v>
      </c>
      <c r="E33" t="s">
        <v>19</v>
      </c>
    </row>
    <row r="34" spans="1:5">
      <c r="A34">
        <v>50</v>
      </c>
      <c r="B34">
        <v>70</v>
      </c>
      <c r="C34">
        <v>15</v>
      </c>
      <c r="D34">
        <v>15</v>
      </c>
      <c r="E34" t="s">
        <v>22</v>
      </c>
    </row>
    <row r="35" spans="1:5">
      <c r="A35">
        <v>50</v>
      </c>
      <c r="B35">
        <v>70</v>
      </c>
      <c r="C35">
        <v>15</v>
      </c>
      <c r="D35">
        <v>30</v>
      </c>
      <c r="E35" t="s">
        <v>22</v>
      </c>
    </row>
    <row r="36" spans="1:5">
      <c r="A36">
        <v>50</v>
      </c>
      <c r="B36">
        <v>70</v>
      </c>
      <c r="C36">
        <v>15</v>
      </c>
      <c r="D36">
        <v>45</v>
      </c>
      <c r="E36" t="s">
        <v>22</v>
      </c>
    </row>
    <row r="37" spans="1:5">
      <c r="A37">
        <v>50</v>
      </c>
      <c r="B37">
        <v>70</v>
      </c>
      <c r="C37">
        <v>30</v>
      </c>
      <c r="D37">
        <v>15</v>
      </c>
      <c r="E37" t="s">
        <v>22</v>
      </c>
    </row>
    <row r="38" spans="1:5">
      <c r="A38">
        <v>50</v>
      </c>
      <c r="B38">
        <v>70</v>
      </c>
      <c r="C38">
        <v>30</v>
      </c>
      <c r="D38">
        <v>30</v>
      </c>
      <c r="E38" t="s">
        <v>22</v>
      </c>
    </row>
    <row r="39" spans="1:5">
      <c r="A39">
        <v>50</v>
      </c>
      <c r="B39">
        <v>70</v>
      </c>
      <c r="C39">
        <v>30</v>
      </c>
      <c r="D39">
        <v>45</v>
      </c>
      <c r="E39" t="s">
        <v>22</v>
      </c>
    </row>
    <row r="40" spans="1:5">
      <c r="A40">
        <v>50</v>
      </c>
      <c r="B40">
        <v>70</v>
      </c>
      <c r="C40">
        <v>45</v>
      </c>
      <c r="D40">
        <v>15</v>
      </c>
      <c r="E40" t="s">
        <v>22</v>
      </c>
    </row>
    <row r="41" spans="1:5">
      <c r="A41">
        <v>50</v>
      </c>
      <c r="B41">
        <v>70</v>
      </c>
      <c r="C41">
        <v>45</v>
      </c>
      <c r="D41">
        <v>30</v>
      </c>
      <c r="E41" t="s">
        <v>22</v>
      </c>
    </row>
    <row r="42" spans="1:5">
      <c r="A42">
        <v>50</v>
      </c>
      <c r="B42">
        <v>70</v>
      </c>
      <c r="C42">
        <v>45</v>
      </c>
      <c r="D42">
        <v>45</v>
      </c>
      <c r="E42" t="s">
        <v>22</v>
      </c>
    </row>
    <row r="43" spans="1:5">
      <c r="A43">
        <v>50</v>
      </c>
      <c r="B43">
        <v>70</v>
      </c>
      <c r="C43">
        <v>15</v>
      </c>
      <c r="D43">
        <v>15</v>
      </c>
      <c r="E43" t="s">
        <v>23</v>
      </c>
    </row>
    <row r="44" spans="1:5">
      <c r="A44">
        <v>50</v>
      </c>
      <c r="B44">
        <v>70</v>
      </c>
      <c r="C44">
        <v>15</v>
      </c>
      <c r="D44">
        <v>30</v>
      </c>
      <c r="E44" t="s">
        <v>23</v>
      </c>
    </row>
    <row r="45" spans="1:5">
      <c r="A45">
        <v>50</v>
      </c>
      <c r="B45">
        <v>70</v>
      </c>
      <c r="C45">
        <v>15</v>
      </c>
      <c r="D45">
        <v>45</v>
      </c>
      <c r="E45" t="s">
        <v>23</v>
      </c>
    </row>
    <row r="46" spans="1:5">
      <c r="A46">
        <v>50</v>
      </c>
      <c r="B46">
        <v>70</v>
      </c>
      <c r="C46">
        <v>30</v>
      </c>
      <c r="D46">
        <v>15</v>
      </c>
      <c r="E46" t="s">
        <v>23</v>
      </c>
    </row>
    <row r="47" spans="1:5">
      <c r="A47">
        <v>50</v>
      </c>
      <c r="B47">
        <v>70</v>
      </c>
      <c r="C47">
        <v>30</v>
      </c>
      <c r="D47">
        <v>30</v>
      </c>
      <c r="E47" t="s">
        <v>23</v>
      </c>
    </row>
    <row r="48" spans="1:5">
      <c r="A48">
        <v>50</v>
      </c>
      <c r="B48">
        <v>70</v>
      </c>
      <c r="C48">
        <v>30</v>
      </c>
      <c r="D48">
        <v>45</v>
      </c>
      <c r="E48" t="s">
        <v>23</v>
      </c>
    </row>
    <row r="49" spans="1:5">
      <c r="A49">
        <v>50</v>
      </c>
      <c r="B49">
        <v>70</v>
      </c>
      <c r="C49">
        <v>45</v>
      </c>
      <c r="D49">
        <v>15</v>
      </c>
      <c r="E49" t="s">
        <v>23</v>
      </c>
    </row>
    <row r="50" spans="1:5">
      <c r="A50">
        <v>50</v>
      </c>
      <c r="B50">
        <v>70</v>
      </c>
      <c r="C50">
        <v>45</v>
      </c>
      <c r="D50">
        <v>30</v>
      </c>
      <c r="E50" t="s">
        <v>23</v>
      </c>
    </row>
    <row r="51" spans="1:5">
      <c r="A51">
        <v>50</v>
      </c>
      <c r="B51">
        <v>70</v>
      </c>
      <c r="C51">
        <v>45</v>
      </c>
      <c r="D51">
        <v>45</v>
      </c>
      <c r="E51" t="s">
        <v>23</v>
      </c>
    </row>
    <row r="54" spans="1:5">
      <c r="A54">
        <v>60</v>
      </c>
      <c r="B54">
        <v>80</v>
      </c>
      <c r="C54">
        <v>0</v>
      </c>
      <c r="D54">
        <v>0</v>
      </c>
      <c r="E54" t="s">
        <v>19</v>
      </c>
    </row>
    <row r="55" spans="1:5">
      <c r="A55">
        <v>60</v>
      </c>
      <c r="B55">
        <v>80</v>
      </c>
      <c r="C55">
        <v>15</v>
      </c>
      <c r="D55">
        <v>15</v>
      </c>
      <c r="E55" t="s">
        <v>22</v>
      </c>
    </row>
    <row r="56" spans="1:5">
      <c r="A56">
        <v>60</v>
      </c>
      <c r="B56">
        <v>80</v>
      </c>
      <c r="C56">
        <v>15</v>
      </c>
      <c r="D56">
        <v>30</v>
      </c>
      <c r="E56" t="s">
        <v>22</v>
      </c>
    </row>
    <row r="57" spans="1:5">
      <c r="A57">
        <v>60</v>
      </c>
      <c r="B57">
        <v>80</v>
      </c>
      <c r="C57">
        <v>15</v>
      </c>
      <c r="D57">
        <v>45</v>
      </c>
      <c r="E57" t="s">
        <v>22</v>
      </c>
    </row>
    <row r="58" spans="1:5">
      <c r="A58">
        <v>60</v>
      </c>
      <c r="B58">
        <v>80</v>
      </c>
      <c r="C58">
        <v>30</v>
      </c>
      <c r="D58">
        <v>15</v>
      </c>
      <c r="E58" t="s">
        <v>22</v>
      </c>
    </row>
    <row r="59" spans="1:5">
      <c r="A59">
        <v>60</v>
      </c>
      <c r="B59">
        <v>80</v>
      </c>
      <c r="C59">
        <v>30</v>
      </c>
      <c r="D59">
        <v>30</v>
      </c>
      <c r="E59" t="s">
        <v>22</v>
      </c>
    </row>
    <row r="60" spans="1:5">
      <c r="A60">
        <v>60</v>
      </c>
      <c r="B60">
        <v>80</v>
      </c>
      <c r="C60">
        <v>30</v>
      </c>
      <c r="D60">
        <v>45</v>
      </c>
      <c r="E60" t="s">
        <v>22</v>
      </c>
    </row>
    <row r="61" spans="1:5">
      <c r="A61">
        <v>60</v>
      </c>
      <c r="B61">
        <v>80</v>
      </c>
      <c r="C61">
        <v>45</v>
      </c>
      <c r="D61">
        <v>15</v>
      </c>
      <c r="E61" t="s">
        <v>22</v>
      </c>
    </row>
    <row r="62" spans="1:5">
      <c r="A62">
        <v>60</v>
      </c>
      <c r="B62">
        <v>80</v>
      </c>
      <c r="C62">
        <v>45</v>
      </c>
      <c r="D62">
        <v>30</v>
      </c>
      <c r="E62" t="s">
        <v>22</v>
      </c>
    </row>
    <row r="63" spans="1:5">
      <c r="A63">
        <v>60</v>
      </c>
      <c r="B63">
        <v>80</v>
      </c>
      <c r="C63">
        <v>45</v>
      </c>
      <c r="D63">
        <v>45</v>
      </c>
      <c r="E63" t="s">
        <v>22</v>
      </c>
    </row>
    <row r="64" spans="1:5">
      <c r="A64">
        <v>60</v>
      </c>
      <c r="B64">
        <v>80</v>
      </c>
      <c r="C64">
        <v>15</v>
      </c>
      <c r="D64">
        <v>15</v>
      </c>
      <c r="E64" t="s">
        <v>23</v>
      </c>
    </row>
    <row r="65" spans="1:5">
      <c r="A65">
        <v>60</v>
      </c>
      <c r="B65">
        <v>80</v>
      </c>
      <c r="C65">
        <v>15</v>
      </c>
      <c r="D65">
        <v>30</v>
      </c>
      <c r="E65" t="s">
        <v>23</v>
      </c>
    </row>
    <row r="66" spans="1:5">
      <c r="A66">
        <v>60</v>
      </c>
      <c r="B66">
        <v>80</v>
      </c>
      <c r="C66">
        <v>15</v>
      </c>
      <c r="D66">
        <v>45</v>
      </c>
      <c r="E66" t="s">
        <v>23</v>
      </c>
    </row>
    <row r="67" spans="1:5">
      <c r="A67">
        <v>60</v>
      </c>
      <c r="B67">
        <v>80</v>
      </c>
      <c r="C67">
        <v>30</v>
      </c>
      <c r="D67">
        <v>15</v>
      </c>
      <c r="E67" t="s">
        <v>23</v>
      </c>
    </row>
    <row r="68" spans="1:5">
      <c r="A68">
        <v>60</v>
      </c>
      <c r="B68">
        <v>80</v>
      </c>
      <c r="C68">
        <v>30</v>
      </c>
      <c r="D68">
        <v>30</v>
      </c>
      <c r="E68" t="s">
        <v>23</v>
      </c>
    </row>
    <row r="69" spans="1:5">
      <c r="A69">
        <v>60</v>
      </c>
      <c r="B69">
        <v>80</v>
      </c>
      <c r="C69">
        <v>30</v>
      </c>
      <c r="D69">
        <v>45</v>
      </c>
      <c r="E69" t="s">
        <v>23</v>
      </c>
    </row>
    <row r="70" spans="1:5">
      <c r="A70">
        <v>60</v>
      </c>
      <c r="B70">
        <v>80</v>
      </c>
      <c r="C70">
        <v>45</v>
      </c>
      <c r="D70">
        <v>15</v>
      </c>
      <c r="E70" t="s">
        <v>23</v>
      </c>
    </row>
    <row r="71" spans="1:5">
      <c r="A71">
        <v>60</v>
      </c>
      <c r="B71">
        <v>80</v>
      </c>
      <c r="C71">
        <v>45</v>
      </c>
      <c r="D71">
        <v>30</v>
      </c>
      <c r="E71" t="s">
        <v>23</v>
      </c>
    </row>
    <row r="72" spans="1:5">
      <c r="A72">
        <v>60</v>
      </c>
      <c r="B72">
        <v>80</v>
      </c>
      <c r="C72">
        <v>45</v>
      </c>
      <c r="D72">
        <v>45</v>
      </c>
      <c r="E7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C027-713D-42A8-A3F2-4BC71F239850}">
  <dimension ref="A1:M23"/>
  <sheetViews>
    <sheetView tabSelected="1" workbookViewId="0">
      <selection activeCell="E28" sqref="E28"/>
    </sheetView>
  </sheetViews>
  <sheetFormatPr defaultRowHeight="14.25"/>
  <cols>
    <col min="2" max="2" width="25.125" customWidth="1"/>
    <col min="7" max="7" width="12.875" customWidth="1"/>
  </cols>
  <sheetData>
    <row r="1" spans="1:13">
      <c r="A1" t="s">
        <v>62</v>
      </c>
      <c r="K1" t="s">
        <v>88</v>
      </c>
      <c r="L1" s="5">
        <v>0.18</v>
      </c>
    </row>
    <row r="2" spans="1:13">
      <c r="A2" t="s">
        <v>63</v>
      </c>
      <c r="G2" t="s">
        <v>59</v>
      </c>
      <c r="K2" t="s">
        <v>81</v>
      </c>
      <c r="L2" s="5">
        <v>0.85</v>
      </c>
    </row>
    <row r="3" spans="1:13" ht="15">
      <c r="A3" s="1" t="s">
        <v>49</v>
      </c>
      <c r="B3" s="5">
        <v>40</v>
      </c>
      <c r="C3" t="s">
        <v>1</v>
      </c>
      <c r="E3" t="s">
        <v>55</v>
      </c>
      <c r="F3">
        <f>MIN(H3,H4)</f>
        <v>4</v>
      </c>
      <c r="G3" t="s">
        <v>56</v>
      </c>
      <c r="H3">
        <f>0.4*B6</f>
        <v>6</v>
      </c>
      <c r="I3" t="s">
        <v>1</v>
      </c>
      <c r="K3" t="s">
        <v>78</v>
      </c>
      <c r="L3" s="5">
        <v>0.85</v>
      </c>
      <c r="M3" t="s">
        <v>79</v>
      </c>
    </row>
    <row r="4" spans="1:13" ht="15" thickBot="1">
      <c r="A4" t="s">
        <v>48</v>
      </c>
      <c r="B4" s="5">
        <v>60</v>
      </c>
      <c r="C4" t="s">
        <v>1</v>
      </c>
      <c r="G4" t="s">
        <v>58</v>
      </c>
      <c r="H4">
        <f>0.1*MIN(B3,B4)</f>
        <v>4</v>
      </c>
      <c r="I4" t="s">
        <v>1</v>
      </c>
    </row>
    <row r="5" spans="1:13" ht="15" thickBot="1">
      <c r="A5" t="s">
        <v>50</v>
      </c>
      <c r="B5" s="5">
        <v>15</v>
      </c>
      <c r="C5" t="s">
        <v>1</v>
      </c>
      <c r="E5" t="s">
        <v>60</v>
      </c>
      <c r="F5">
        <f>MAX(H5:H6)</f>
        <v>3</v>
      </c>
      <c r="G5" t="s">
        <v>61</v>
      </c>
      <c r="H5">
        <f>0.04*MIN(B3,B4)</f>
        <v>1.6</v>
      </c>
      <c r="I5" t="s">
        <v>1</v>
      </c>
      <c r="K5" s="3" t="s">
        <v>80</v>
      </c>
      <c r="L5" s="4">
        <f>0.00256*B7*B7*L3*L2</f>
        <v>41.616</v>
      </c>
      <c r="M5" t="s">
        <v>40</v>
      </c>
    </row>
    <row r="6" spans="1:13" ht="15" thickBot="1">
      <c r="A6" t="s">
        <v>57</v>
      </c>
      <c r="B6" s="5">
        <v>15</v>
      </c>
      <c r="C6" t="s">
        <v>1</v>
      </c>
      <c r="G6">
        <v>3</v>
      </c>
      <c r="H6">
        <v>3</v>
      </c>
      <c r="I6" t="s">
        <v>1</v>
      </c>
    </row>
    <row r="7" spans="1:13" ht="15" thickBot="1">
      <c r="A7" t="s">
        <v>51</v>
      </c>
      <c r="B7" s="5">
        <v>150</v>
      </c>
      <c r="C7" t="s">
        <v>52</v>
      </c>
      <c r="E7" s="3" t="s">
        <v>55</v>
      </c>
      <c r="F7" s="4">
        <f>MAX(F5,F3)</f>
        <v>4</v>
      </c>
      <c r="G7" t="s">
        <v>1</v>
      </c>
    </row>
    <row r="9" spans="1:13" ht="15">
      <c r="A9" s="1" t="s">
        <v>72</v>
      </c>
      <c r="G9" t="s">
        <v>82</v>
      </c>
      <c r="H9" t="s">
        <v>82</v>
      </c>
      <c r="I9" t="s">
        <v>83</v>
      </c>
      <c r="J9" t="s">
        <v>84</v>
      </c>
      <c r="L9" t="s">
        <v>90</v>
      </c>
      <c r="M9" t="s">
        <v>91</v>
      </c>
    </row>
    <row r="10" spans="1:13">
      <c r="A10" t="s">
        <v>53</v>
      </c>
      <c r="C10" t="s">
        <v>65</v>
      </c>
      <c r="E10" t="s">
        <v>76</v>
      </c>
      <c r="F10" t="s">
        <v>77</v>
      </c>
      <c r="G10" t="s">
        <v>86</v>
      </c>
      <c r="H10" t="s">
        <v>87</v>
      </c>
      <c r="I10" t="s">
        <v>85</v>
      </c>
      <c r="J10" s="6" t="s">
        <v>89</v>
      </c>
      <c r="L10" t="s">
        <v>40</v>
      </c>
      <c r="M10" t="s">
        <v>40</v>
      </c>
    </row>
    <row r="11" spans="1:13">
      <c r="A11" t="s">
        <v>54</v>
      </c>
      <c r="B11" t="s">
        <v>68</v>
      </c>
      <c r="C11">
        <f>($B$4-2.4*$B$6)*($B$3-2.4*$B$6)</f>
        <v>96</v>
      </c>
      <c r="E11">
        <v>0.20399999999999999</v>
      </c>
      <c r="F11">
        <v>-0.9</v>
      </c>
      <c r="G11">
        <f>$L$5*E11</f>
        <v>8.4896639999999994</v>
      </c>
      <c r="H11">
        <f>$L$5*F11</f>
        <v>-37.4544</v>
      </c>
      <c r="I11">
        <f>$L$5*$L$1</f>
        <v>7.4908799999999998</v>
      </c>
      <c r="J11">
        <f>-$L$5*$L$1</f>
        <v>-7.4908799999999998</v>
      </c>
      <c r="L11">
        <f>G11+I11</f>
        <v>15.980543999999998</v>
      </c>
      <c r="M11">
        <f>H11+J11</f>
        <v>-44.945279999999997</v>
      </c>
    </row>
    <row r="12" spans="1:13">
      <c r="A12">
        <v>1</v>
      </c>
      <c r="B12" t="s">
        <v>69</v>
      </c>
      <c r="C12">
        <f>($B$4-1.2*$B$6)*($B$3-1.2*$B$6)-C11</f>
        <v>828</v>
      </c>
      <c r="E12">
        <v>0.2</v>
      </c>
      <c r="F12">
        <v>-1</v>
      </c>
      <c r="G12">
        <f t="shared" ref="G12:G14" si="0">$L$5*E12</f>
        <v>8.3231999999999999</v>
      </c>
      <c r="H12">
        <f t="shared" ref="H12:H14" si="1">$L$5*F12</f>
        <v>-41.616</v>
      </c>
      <c r="I12">
        <f t="shared" ref="I12:I14" si="2">$L$5*$L$1</f>
        <v>7.4908799999999998</v>
      </c>
      <c r="J12">
        <f t="shared" ref="J12:J14" si="3">-$L$5*$L$1</f>
        <v>-7.4908799999999998</v>
      </c>
      <c r="L12">
        <f t="shared" ref="L12:L14" si="4">G12+I12</f>
        <v>15.814080000000001</v>
      </c>
      <c r="M12">
        <f t="shared" ref="M12:M14" si="5">H12+J12</f>
        <v>-49.106879999999997</v>
      </c>
    </row>
    <row r="13" spans="1:13">
      <c r="A13">
        <v>2</v>
      </c>
      <c r="B13" t="s">
        <v>70</v>
      </c>
      <c r="C13">
        <f>B3*B4-C11-C12-4*C14</f>
        <v>1296</v>
      </c>
      <c r="E13">
        <v>0.2</v>
      </c>
      <c r="F13">
        <v>-1.4</v>
      </c>
      <c r="G13">
        <f t="shared" si="0"/>
        <v>8.3231999999999999</v>
      </c>
      <c r="H13">
        <f t="shared" si="1"/>
        <v>-58.262399999999992</v>
      </c>
      <c r="I13">
        <f t="shared" si="2"/>
        <v>7.4908799999999998</v>
      </c>
      <c r="J13">
        <f t="shared" si="3"/>
        <v>-7.4908799999999998</v>
      </c>
      <c r="L13">
        <f t="shared" si="4"/>
        <v>15.814080000000001</v>
      </c>
      <c r="M13">
        <f t="shared" si="5"/>
        <v>-65.75327999999999</v>
      </c>
    </row>
    <row r="14" spans="1:13">
      <c r="A14">
        <v>3</v>
      </c>
      <c r="B14" t="s">
        <v>67</v>
      </c>
      <c r="C14">
        <f>0.2*$B$6*$B$6</f>
        <v>45</v>
      </c>
      <c r="E14">
        <v>0.26100000000000001</v>
      </c>
      <c r="F14">
        <v>-2.5</v>
      </c>
      <c r="G14">
        <f t="shared" si="0"/>
        <v>10.861776000000001</v>
      </c>
      <c r="H14">
        <f t="shared" si="1"/>
        <v>-104.03999999999999</v>
      </c>
      <c r="I14">
        <f t="shared" si="2"/>
        <v>7.4908799999999998</v>
      </c>
      <c r="J14">
        <f t="shared" si="3"/>
        <v>-7.4908799999999998</v>
      </c>
      <c r="L14">
        <f t="shared" si="4"/>
        <v>18.352656</v>
      </c>
      <c r="M14">
        <f t="shared" si="5"/>
        <v>-111.53088</v>
      </c>
    </row>
    <row r="15" spans="1:13" ht="15">
      <c r="B15" s="1" t="s">
        <v>71</v>
      </c>
      <c r="C15" s="1">
        <f>C11+C12+C13+4*C14</f>
        <v>2400</v>
      </c>
      <c r="D15" t="str">
        <f>IF(C15=B3*B4,"OK","ERROR")</f>
        <v>OK</v>
      </c>
    </row>
    <row r="17" spans="1:13" ht="15">
      <c r="A17" s="1" t="s">
        <v>73</v>
      </c>
    </row>
    <row r="18" spans="1:13">
      <c r="A18">
        <v>4</v>
      </c>
      <c r="B18" t="s">
        <v>66</v>
      </c>
      <c r="C18">
        <f>($B$3-2*$F$7)*($B$5)</f>
        <v>480</v>
      </c>
      <c r="E18">
        <v>0.72</v>
      </c>
      <c r="F18">
        <v>-0.81</v>
      </c>
      <c r="G18">
        <f t="shared" ref="G18:G19" si="6">$L$5*E18</f>
        <v>29.963519999999999</v>
      </c>
      <c r="H18">
        <f t="shared" ref="H18:H19" si="7">$L$5*F18</f>
        <v>-33.708960000000005</v>
      </c>
      <c r="I18">
        <f t="shared" ref="I18:I19" si="8">$L$5*$L$1</f>
        <v>7.4908799999999998</v>
      </c>
      <c r="J18">
        <f t="shared" ref="J18:J19" si="9">-$L$5*$L$1</f>
        <v>-7.4908799999999998</v>
      </c>
      <c r="L18">
        <f t="shared" ref="L18" si="10">G18+I18</f>
        <v>37.4544</v>
      </c>
      <c r="M18">
        <f>H18+J18</f>
        <v>-41.199840000000002</v>
      </c>
    </row>
    <row r="19" spans="1:13">
      <c r="A19">
        <v>5</v>
      </c>
      <c r="B19" t="s">
        <v>64</v>
      </c>
      <c r="C19">
        <f>$F$7*B5</f>
        <v>60</v>
      </c>
      <c r="E19">
        <v>0.83</v>
      </c>
      <c r="F19">
        <v>-1.18</v>
      </c>
      <c r="G19">
        <f t="shared" si="6"/>
        <v>34.54128</v>
      </c>
      <c r="H19">
        <f t="shared" si="7"/>
        <v>-49.106879999999997</v>
      </c>
      <c r="I19">
        <f t="shared" si="8"/>
        <v>7.4908799999999998</v>
      </c>
      <c r="J19">
        <f t="shared" si="9"/>
        <v>-7.4908799999999998</v>
      </c>
      <c r="L19">
        <f t="shared" ref="L19" si="11">G19+I19</f>
        <v>42.032159999999998</v>
      </c>
      <c r="M19">
        <f>H19+J19</f>
        <v>-56.597759999999994</v>
      </c>
    </row>
    <row r="21" spans="1:13" ht="15">
      <c r="A21" s="1" t="s">
        <v>74</v>
      </c>
    </row>
    <row r="22" spans="1:13">
      <c r="A22">
        <v>4</v>
      </c>
      <c r="B22" t="s">
        <v>75</v>
      </c>
      <c r="C22">
        <f>($B$4-2*$F$7)*($B$5)</f>
        <v>780</v>
      </c>
      <c r="E22">
        <v>0.7</v>
      </c>
      <c r="F22">
        <v>-0.8</v>
      </c>
      <c r="G22">
        <f t="shared" ref="G22:G23" si="12">$L$5*E22</f>
        <v>29.131199999999996</v>
      </c>
      <c r="H22">
        <f t="shared" ref="H22:H23" si="13">$L$5*F22</f>
        <v>-33.2928</v>
      </c>
      <c r="I22">
        <f t="shared" ref="I22:I23" si="14">$L$5*$L$1</f>
        <v>7.4908799999999998</v>
      </c>
      <c r="J22">
        <f t="shared" ref="J22:J23" si="15">-$L$5*$L$1</f>
        <v>-7.4908799999999998</v>
      </c>
      <c r="L22">
        <f t="shared" ref="L22:L23" si="16">G22+I22</f>
        <v>36.622079999999997</v>
      </c>
      <c r="M22">
        <f>H22+J22</f>
        <v>-40.783679999999997</v>
      </c>
    </row>
    <row r="23" spans="1:13">
      <c r="A23">
        <v>5</v>
      </c>
      <c r="B23" t="s">
        <v>64</v>
      </c>
      <c r="C23">
        <f>F7*B5</f>
        <v>60</v>
      </c>
      <c r="E23">
        <v>0.83</v>
      </c>
      <c r="F23">
        <v>-1.18</v>
      </c>
      <c r="G23">
        <f t="shared" si="12"/>
        <v>34.54128</v>
      </c>
      <c r="H23">
        <f t="shared" si="13"/>
        <v>-49.106879999999997</v>
      </c>
      <c r="I23">
        <f t="shared" si="14"/>
        <v>7.4908799999999998</v>
      </c>
      <c r="J23">
        <f t="shared" si="15"/>
        <v>-7.4908799999999998</v>
      </c>
      <c r="L23">
        <f t="shared" si="16"/>
        <v>42.032159999999998</v>
      </c>
      <c r="M23">
        <f>H23+J23</f>
        <v>-56.597759999999994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20E2-F01C-4F60-9B3D-82EC74076ADF}">
  <dimension ref="A1"/>
  <sheetViews>
    <sheetView workbookViewId="0">
      <selection activeCell="C16" sqref="A2:C16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Exposure C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Allen</dc:creator>
  <cp:lastModifiedBy>James Allen</cp:lastModifiedBy>
  <dcterms:created xsi:type="dcterms:W3CDTF">2025-07-22T19:31:00Z</dcterms:created>
  <dcterms:modified xsi:type="dcterms:W3CDTF">2025-07-23T07:03:49Z</dcterms:modified>
</cp:coreProperties>
</file>